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1" autoFilterDateGrouping="1"/>
  </bookViews>
  <sheets>
    <sheet xmlns:r="http://schemas.openxmlformats.org/officeDocument/2006/relationships" name="motorcycles" sheetId="1" state="visible" r:id="rId1"/>
    <sheet xmlns:r="http://schemas.openxmlformats.org/officeDocument/2006/relationships" name="videos" sheetId="2" state="visible" r:id="rId2"/>
    <sheet xmlns:r="http://schemas.openxmlformats.org/officeDocument/2006/relationships" name="Legend &amp; Instructions" sheetId="3" state="visible" r:id="rId3"/>
    <sheet xmlns:r="http://schemas.openxmlformats.org/officeDocument/2006/relationships" name="Progress Summary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3" borderId="1" pivotButton="0" quotePrefix="0" xfId="1"/>
    <xf numFmtId="0" fontId="2" fillId="3" borderId="1" applyAlignment="1" pivotButton="0" quotePrefix="0" xfId="0">
      <alignment wrapText="1"/>
    </xf>
    <xf numFmtId="14" fontId="2" fillId="3" borderId="1" pivotButton="0" quotePrefix="0" xfId="0"/>
    <xf numFmtId="3" fontId="2" fillId="3" borderId="1" pivotButton="0" quotePrefix="0" xfId="0"/>
    <xf numFmtId="0" fontId="2" fillId="3" borderId="1" pivotButton="0" quotePrefix="1" xfId="0"/>
    <xf numFmtId="0" fontId="6" fillId="3" borderId="1" pivotButton="0" quotePrefix="0" xfId="0"/>
    <xf numFmtId="0" fontId="6" fillId="3" borderId="1" pivotButton="0" quotePrefix="1" xfId="0"/>
    <xf numFmtId="0" fontId="6" fillId="3" borderId="1" applyAlignment="1" pivotButton="0" quotePrefix="0" xfId="0">
      <alignment wrapText="1"/>
    </xf>
    <xf numFmtId="0" fontId="6" fillId="0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.be/-er9MuJBMgw?si=uDe4QtfF3HBnMc7M" TargetMode="External" Id="rId1"/><Relationship Type="http://schemas.openxmlformats.org/officeDocument/2006/relationships/hyperlink" Target="https://youtu.be/5ZWQAi23Mxg?si=t8iLGr2_O_YvqFw3" TargetMode="External" Id="rId2"/><Relationship Type="http://schemas.openxmlformats.org/officeDocument/2006/relationships/hyperlink" Target="https://youtu.be/evHypf_f8BY?si=XSCcViGWnNWKz7vV" TargetMode="External" Id="rId3"/><Relationship Type="http://schemas.openxmlformats.org/officeDocument/2006/relationships/hyperlink" Target="https://youtu.be/Cs-TlgsCJZs?si=htrRbDlZBdN47iJx" TargetMode="External" Id="rId4"/><Relationship Type="http://schemas.openxmlformats.org/officeDocument/2006/relationships/hyperlink" Target="https://youtu.be/IsJ910DvBBQ?si=GdKu8vkerjU3fmrh" TargetMode="External" Id="rId5"/><Relationship Type="http://schemas.openxmlformats.org/officeDocument/2006/relationships/hyperlink" Target="https://youtu.be/H0Tx3cpKMkM?si=nPztt0hHJMwndVPE" TargetMode="External" Id="rId6"/><Relationship Type="http://schemas.openxmlformats.org/officeDocument/2006/relationships/hyperlink" Target="https://youtu.be/CsmsD8TQh1M?si=pfXVF2LrK2TwSVht" TargetMode="External" Id="rId7"/><Relationship Type="http://schemas.openxmlformats.org/officeDocument/2006/relationships/hyperlink" Target="https://youtu.be/RBbtw5cgY6Q?si=tE5uSnwpztT3sEbX" TargetMode="External" Id="rId8"/><Relationship Type="http://schemas.openxmlformats.org/officeDocument/2006/relationships/hyperlink" Target="https://youtu.be/BgEbtgOoh74?si=ObNmu-MPdsb9ydgv" TargetMode="External" Id="rId9"/><Relationship Type="http://schemas.openxmlformats.org/officeDocument/2006/relationships/hyperlink" Target="https://youtu.be/4CflawOlGvo?si=LTaVMgQo2bRbYTWj" TargetMode="External" Id="rId10"/><Relationship Type="http://schemas.openxmlformats.org/officeDocument/2006/relationships/hyperlink" Target="https://youtu.be/NC_iCF-c65o?si=tg9lq7b6zr05em_F" TargetMode="External" Id="rId11"/><Relationship Type="http://schemas.openxmlformats.org/officeDocument/2006/relationships/hyperlink" Target="https://youtu.be/HkEpyVD1t3k?si=4tr3FePIzA0il1iX" TargetMode="External" Id="rId12"/><Relationship Type="http://schemas.openxmlformats.org/officeDocument/2006/relationships/hyperlink" Target="https://youtu.be/pu6PwreWdow?si=jZMj9--hAXL313Is" TargetMode="External" Id="rId13"/><Relationship Type="http://schemas.openxmlformats.org/officeDocument/2006/relationships/hyperlink" Target="https://youtu.be/6DC64U_myuU?si=H5Q0yR1I8_wfxQo_" TargetMode="External" Id="rId14"/><Relationship Type="http://schemas.openxmlformats.org/officeDocument/2006/relationships/hyperlink" Target="https://youtu.be/GBSX_eF8WxM?si=DQ1ULpZ8FZd9Un7S" TargetMode="External" Id="rId15"/><Relationship Type="http://schemas.openxmlformats.org/officeDocument/2006/relationships/hyperlink" Target="https://youtu.be/WjducW5cC5Q?si=ltKubp2lwA67IyCx" TargetMode="External" Id="rId16"/><Relationship Type="http://schemas.openxmlformats.org/officeDocument/2006/relationships/hyperlink" Target="https://youtu.be/6IbrAP24UbM?si=huQxN2GdHxckU4Uh" TargetMode="External" Id="rId17"/><Relationship Type="http://schemas.openxmlformats.org/officeDocument/2006/relationships/hyperlink" Target="https://youtu.be/fw1D12pgfnw?si=7SwfR9wylNc4rkIP" TargetMode="External" Id="rId18"/><Relationship Type="http://schemas.openxmlformats.org/officeDocument/2006/relationships/hyperlink" Target="https://youtu.be/T6suU5PHsoY?si=UAaYq1gQC6soDu8V" TargetMode="External" Id="rId19"/><Relationship Type="http://schemas.openxmlformats.org/officeDocument/2006/relationships/hyperlink" Target="https://youtu.be/nn49ocqTrFg?si=Z5sEeIv2_q_8WcWi" TargetMode="External" Id="rId20"/><Relationship Type="http://schemas.openxmlformats.org/officeDocument/2006/relationships/hyperlink" Target="https://youtu.be/CI4V3zELoVU?si=cUjM1z43onT7-j1_" TargetMode="External" Id="rId21"/><Relationship Type="http://schemas.openxmlformats.org/officeDocument/2006/relationships/hyperlink" Target="https://youtu.be/N1ERYf8d-Gw?si=z7uS1G21wnWunYEY" TargetMode="External" Id="rId22"/><Relationship Type="http://schemas.openxmlformats.org/officeDocument/2006/relationships/hyperlink" Target="https://youtu.be/tX6b4cYI9rk?si=6_WYw_e0j-zzy5ng" TargetMode="External" Id="rId23"/><Relationship Type="http://schemas.openxmlformats.org/officeDocument/2006/relationships/hyperlink" Target="https://youtu.be/f_08zAzXUnU?si=EPy0Ga549QiXKBca" TargetMode="External" Id="rId24"/><Relationship Type="http://schemas.openxmlformats.org/officeDocument/2006/relationships/hyperlink" Target="https://youtu.be/z3JxRLUQd6E?si=P8KW_JMiGwZbS5yE" TargetMode="External" Id="rId25"/><Relationship Type="http://schemas.openxmlformats.org/officeDocument/2006/relationships/hyperlink" Target="https://youtu.be/_lgO3D7X748?si=NTW5kpFNdx1SG3bc" TargetMode="External" Id="rId26"/><Relationship Type="http://schemas.openxmlformats.org/officeDocument/2006/relationships/hyperlink" Target="https://youtu.be/d8Y9OQkTYVk?si=lIS79q9Cyjy3ukBE" TargetMode="External" Id="rId27"/><Relationship Type="http://schemas.openxmlformats.org/officeDocument/2006/relationships/hyperlink" Target="https://youtu.be/IEFbORGxsjA?si=IKppLxVbGK0fSLqv" TargetMode="External" Id="rId28"/><Relationship Type="http://schemas.openxmlformats.org/officeDocument/2006/relationships/hyperlink" Target="https://youtu.be/PgqaOOQh6oQ?si=yAjg5gcgc1yZweBY" TargetMode="External" Id="rId29"/><Relationship Type="http://schemas.openxmlformats.org/officeDocument/2006/relationships/hyperlink" Target="https://youtu.be/RtmRTBCBfOE?si=YJ4fV5nX-KL9SzYu" TargetMode="External" Id="rId30"/><Relationship Type="http://schemas.openxmlformats.org/officeDocument/2006/relationships/hyperlink" Target="https://youtu.be/JVviu6Q6sn4?si=wcWX8-vZrpTNoOl7" TargetMode="External" Id="rId31"/><Relationship Type="http://schemas.openxmlformats.org/officeDocument/2006/relationships/hyperlink" Target="https://youtu.be/3UB4YSzkRG8?si=vWfk8KytFrxTCLNv" TargetMode="External" Id="rId32"/><Relationship Type="http://schemas.openxmlformats.org/officeDocument/2006/relationships/hyperlink" Target="https://youtu.be/poCotQmZVwk?si=v2IvNENsiprlvle-" TargetMode="External" Id="rId33"/><Relationship Type="http://schemas.openxmlformats.org/officeDocument/2006/relationships/hyperlink" Target="https://youtu.be/JJ_MoPRSidQ?si=ZSjSZhxfhUpzoLI8" TargetMode="External" Id="rId34"/><Relationship Type="http://schemas.openxmlformats.org/officeDocument/2006/relationships/hyperlink" Target="https://youtu.be/r0L2zWrQjCM?si=yHr_y-HwhQjYdvqD" TargetMode="External" Id="rId35"/><Relationship Type="http://schemas.openxmlformats.org/officeDocument/2006/relationships/hyperlink" Target="https://youtu.be/AR3tTRIPUAU?si=db9eOSx-64Sq5Qpo" TargetMode="External" Id="rId36"/><Relationship Type="http://schemas.openxmlformats.org/officeDocument/2006/relationships/hyperlink" Target="https://youtu.be/3KgjWedqsAc?si=8A4UITumvKwkIPat" TargetMode="External" Id="rId37"/><Relationship Type="http://schemas.openxmlformats.org/officeDocument/2006/relationships/hyperlink" Target="https://youtu.be/o3bBR7rn0dE?si=S2d8hvM8nZ-u6yIN" TargetMode="External" Id="rId38"/><Relationship Type="http://schemas.openxmlformats.org/officeDocument/2006/relationships/hyperlink" Target="https://youtu.be/F9qFcvqyl10?si=rL87R4mMoUHk2QHU" TargetMode="External" Id="rId39"/><Relationship Type="http://schemas.openxmlformats.org/officeDocument/2006/relationships/hyperlink" Target="https://youtu.be/VTfeTS44c04?si=AIJsKIOQZX74Zmut" TargetMode="External" Id="rId40"/><Relationship Type="http://schemas.openxmlformats.org/officeDocument/2006/relationships/hyperlink" Target="https://youtu.be/cYvPyGpMWHo?si=rBBHK5zS3OZ4tMSK" TargetMode="External" Id="rId41"/><Relationship Type="http://schemas.openxmlformats.org/officeDocument/2006/relationships/hyperlink" Target="https://youtu.be/2jvAGTBtrmM?si=hvX5uaIemYhWP3IM" TargetMode="External" Id="rId42"/><Relationship Type="http://schemas.openxmlformats.org/officeDocument/2006/relationships/hyperlink" Target="https://youtu.be/znSlxUvHJGo?si=QYPaK3J6rggOot4P" TargetMode="External" Id="rId43"/><Relationship Type="http://schemas.openxmlformats.org/officeDocument/2006/relationships/hyperlink" Target="https://youtu.be/p1GoehzjRzw?si=d0nYrfBSZtP_VyeL" TargetMode="External" Id="rId44"/><Relationship Type="http://schemas.openxmlformats.org/officeDocument/2006/relationships/hyperlink" Target="https://youtu.be/zmOy-QQFgfw?si=N0jFZWGe358I9Zug" TargetMode="External" Id="rId45"/><Relationship Type="http://schemas.openxmlformats.org/officeDocument/2006/relationships/hyperlink" Target="https://youtu.be/1QhKpoYkuw8?si=-wpP6HtahrcKc5o4" TargetMode="External" Id="rId46"/><Relationship Type="http://schemas.openxmlformats.org/officeDocument/2006/relationships/hyperlink" Target="https://youtu.be/X66z4ovU1yY?si=th3gPQpHWyYbqy1J" TargetMode="External" Id="rId47"/><Relationship Type="http://schemas.openxmlformats.org/officeDocument/2006/relationships/hyperlink" Target="https://youtu.be/zK4FCFbE4Y0?si=h9vqVTjlqgps7EMo" TargetMode="External" Id="rId48"/><Relationship Type="http://schemas.openxmlformats.org/officeDocument/2006/relationships/hyperlink" Target="https://youtu.be/c5Ibg5Q6k58?si=VU-h8rD8rMf5hZFI" TargetMode="External" Id="rId49"/><Relationship Type="http://schemas.openxmlformats.org/officeDocument/2006/relationships/hyperlink" Target="https://youtu.be/oLMlYwP1k2M?si=uQwQEbsTwjHr62n5" TargetMode="External" Id="rId50"/><Relationship Type="http://schemas.openxmlformats.org/officeDocument/2006/relationships/hyperlink" Target="https://youtu.be/4CJH-mhqrHc?si=RSbIg3FU_ftetMr2" TargetMode="External" Id="rId51"/><Relationship Type="http://schemas.openxmlformats.org/officeDocument/2006/relationships/hyperlink" Target="https://youtu.be/CYrvPtJTMB4?si=f0Gw2-5_Kw-cdb9M" TargetMode="External" Id="rId52"/><Relationship Type="http://schemas.openxmlformats.org/officeDocument/2006/relationships/hyperlink" Target="https://youtu.be/EHgvpdMyN6s?si=1vCOG0RG6wua6oW0" TargetMode="External" Id="rId53"/><Relationship Type="http://schemas.openxmlformats.org/officeDocument/2006/relationships/hyperlink" Target="https://youtu.be/WPsSDnzbbGg?si=JTT6ixnWmDNNLxem" TargetMode="External" Id="rId54"/><Relationship Type="http://schemas.openxmlformats.org/officeDocument/2006/relationships/hyperlink" Target="https://youtu.be/kN17HsyvQDs?si=b7eaK0gmaQEsN5G4" TargetMode="External" Id="rId55"/><Relationship Type="http://schemas.openxmlformats.org/officeDocument/2006/relationships/hyperlink" Target="https://youtu.be/dYBGDJco6Ng?si=JbhQH8UCWOwSThaK" TargetMode="External" Id="rId56"/><Relationship Type="http://schemas.openxmlformats.org/officeDocument/2006/relationships/hyperlink" Target="https://youtu.be/s5KlUpv4YZk?si=36d6K3clhGjUGNIP" TargetMode="External" Id="rId57"/><Relationship Type="http://schemas.openxmlformats.org/officeDocument/2006/relationships/hyperlink" Target="https://youtu.be/tX_Goy7CitI?si=m84yT45KSh6wR2Z_" TargetMode="External" Id="rId58"/><Relationship Type="http://schemas.openxmlformats.org/officeDocument/2006/relationships/hyperlink" Target="https://youtu.be/gO09ROyYNqk?si=U3jVZE0k6CCvRnvH" TargetMode="External" Id="rId59"/><Relationship Type="http://schemas.openxmlformats.org/officeDocument/2006/relationships/hyperlink" Target="https://youtu.be/S9zUe8iuhJc?si=u8PRtj9vDy48cmuO" TargetMode="External" Id="rId60"/><Relationship Type="http://schemas.openxmlformats.org/officeDocument/2006/relationships/hyperlink" Target="https://youtu.be/7e3xA516MLY?si=IrifaUX4gLzYK32a" TargetMode="External" Id="rId61"/><Relationship Type="http://schemas.openxmlformats.org/officeDocument/2006/relationships/hyperlink" Target="https://youtu.be/sVqdO2bHFCo?si=qppPjwYxax_VOlCH" TargetMode="External" Id="rId62"/><Relationship Type="http://schemas.openxmlformats.org/officeDocument/2006/relationships/hyperlink" Target="https://youtu.be/l4WYt-2RrDQ?si=rqBfC-iXJubc8wIq" TargetMode="External" Id="rId63"/><Relationship Type="http://schemas.openxmlformats.org/officeDocument/2006/relationships/hyperlink" Target="https://youtu.be/7wxkie5-XFc?si=w_n_IQND6NQjpNjk" TargetMode="External" Id="rId64"/><Relationship Type="http://schemas.openxmlformats.org/officeDocument/2006/relationships/hyperlink" Target="https://youtu.be/7wxkie5-XFc?si=w_n_IQND6NQjpNjk" TargetMode="External" Id="rId65"/><Relationship Type="http://schemas.openxmlformats.org/officeDocument/2006/relationships/hyperlink" Target="https://youtu.be/8Y47c0XbRik?si=OMY50Nw8UgQRKS5z" TargetMode="External" Id="rId66"/><Relationship Type="http://schemas.openxmlformats.org/officeDocument/2006/relationships/hyperlink" Target="https://youtu.be/66rjIppjNgM?si=i2RXyFdE1zLroSj_" TargetMode="External" Id="rId67"/><Relationship Type="http://schemas.openxmlformats.org/officeDocument/2006/relationships/hyperlink" Target="https://youtu.be/aBcWjNt67Mw?si=R22IG4S20scGcQLA" TargetMode="External" Id="rId68"/><Relationship Type="http://schemas.openxmlformats.org/officeDocument/2006/relationships/hyperlink" Target="https://youtu.be/MI3MrOhEbw8?si=-OBMcZDLZtuldkdO" TargetMode="External" Id="rId69"/><Relationship Type="http://schemas.openxmlformats.org/officeDocument/2006/relationships/hyperlink" Target="https://youtu.be/OixN-paU1RY?si=RzzGRbBbP9BYoKVO" TargetMode="External" Id="rId70"/><Relationship Type="http://schemas.openxmlformats.org/officeDocument/2006/relationships/hyperlink" Target="https://youtu.be/3BcuIEIn4Hk?si=pYYfzrqPFW_Oz024" TargetMode="External" Id="rId71"/><Relationship Type="http://schemas.openxmlformats.org/officeDocument/2006/relationships/hyperlink" Target="https://youtu.be/f_ZK8XnzbG4?si=379Y4sD6IWMygb_m" TargetMode="External" Id="rId72"/><Relationship Type="http://schemas.openxmlformats.org/officeDocument/2006/relationships/hyperlink" Target="https://youtu.be/05PfY3aD6n0?si=zqjjxwy0X_t-X2dW" TargetMode="External" Id="rId73"/><Relationship Type="http://schemas.openxmlformats.org/officeDocument/2006/relationships/hyperlink" Target="https://youtu.be/xwc2TPYIZWo?si=gpC1LkJLjSifJqFm" TargetMode="External" Id="rId74"/><Relationship Type="http://schemas.openxmlformats.org/officeDocument/2006/relationships/hyperlink" Target="https://youtu.be/TaKzvvGUB-g?si=xTjmhHqpJLLL-Z5W" TargetMode="External" Id="rId75"/><Relationship Type="http://schemas.openxmlformats.org/officeDocument/2006/relationships/hyperlink" Target="https://youtu.be/fMAVOQz9L9A?si=9eos5BfO8YDV4AOT" TargetMode="External" Id="rId76"/><Relationship Type="http://schemas.openxmlformats.org/officeDocument/2006/relationships/hyperlink" Target="https://youtu.be/1F84sRGV2i0?si=iYaHye8z3NCkPdYA" TargetMode="External" Id="rId77"/><Relationship Type="http://schemas.openxmlformats.org/officeDocument/2006/relationships/hyperlink" Target="https://youtu.be/VGkh9ldQfcI?si=nwhMQQylLp2QWEcr" TargetMode="External" Id="rId78"/><Relationship Type="http://schemas.openxmlformats.org/officeDocument/2006/relationships/hyperlink" Target="https://youtu.be/sMIoVaSenME?si=kh2Cm9SVghQDrwPv" TargetMode="External" Id="rId79"/><Relationship Type="http://schemas.openxmlformats.org/officeDocument/2006/relationships/hyperlink" Target="https://youtu.be/5GJUQS5USLA?si=tkRJMg6bNrwa70OQ" TargetMode="External" Id="rId80"/><Relationship Type="http://schemas.openxmlformats.org/officeDocument/2006/relationships/hyperlink" Target="https://youtu.be/2CFsEgNwa14?si=DixJx3X1uEIuhvvG" TargetMode="External" Id="rId81"/><Relationship Type="http://schemas.openxmlformats.org/officeDocument/2006/relationships/hyperlink" Target="https://youtu.be/mcz-A1SjGBg?si=iRHD8yEpdGZ6ew4V" TargetMode="External" Id="rId82"/><Relationship Type="http://schemas.openxmlformats.org/officeDocument/2006/relationships/hyperlink" Target="https://youtu.be/AEdVPRc4xOc?si=CMxdLmxtC6txGq0_" TargetMode="External" Id="rId83"/><Relationship Type="http://schemas.openxmlformats.org/officeDocument/2006/relationships/hyperlink" Target="https://youtu.be/77juVLIKjWY?si=xkhK56jKFeiiCI0j" TargetMode="External" Id="rId84"/><Relationship Type="http://schemas.openxmlformats.org/officeDocument/2006/relationships/hyperlink" Target="https://youtu.be/IGNCvN6LmCs?si=CsgpWjD68vNGmlqb" TargetMode="External" Id="rId85"/><Relationship Type="http://schemas.openxmlformats.org/officeDocument/2006/relationships/hyperlink" Target="https://youtu.be/jcIVjAtMDJU?si=RiYbsa4wrom_k1JM" TargetMode="External" Id="rId86"/><Relationship Type="http://schemas.openxmlformats.org/officeDocument/2006/relationships/hyperlink" Target="https://youtu.be/UoUfpzlJP5M?si=NhXRUcCUDpxQ_K0B" TargetMode="External" Id="rId87"/><Relationship Type="http://schemas.openxmlformats.org/officeDocument/2006/relationships/hyperlink" Target="https://youtu.be/Ahu4Pv2nOho?si=6BVEoDkQ38RjTZLl" TargetMode="External" Id="rId88"/><Relationship Type="http://schemas.openxmlformats.org/officeDocument/2006/relationships/hyperlink" Target="https://youtu.be/b9XugLNGfms?si=yfwynPND_S1-Onwh" TargetMode="External" Id="rId89"/><Relationship Type="http://schemas.openxmlformats.org/officeDocument/2006/relationships/hyperlink" Target="https://youtu.be/88rgLE_eNJk?si=GIiIjF7uv6gU44p5" TargetMode="External" Id="rId90"/><Relationship Type="http://schemas.openxmlformats.org/officeDocument/2006/relationships/hyperlink" Target="https://youtu.be/VuOTIctcX6E?si=B12m1kh1dD6QJFd8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34" customWidth="1" min="1" max="1"/>
    <col width="18" customWidth="1" min="2" max="2"/>
    <col width="20" customWidth="1" min="3" max="4"/>
    <col width="14" customWidth="1" min="5" max="5"/>
    <col width="24" customWidth="1" min="6" max="6"/>
    <col width="16" customWidth="1" min="7" max="7"/>
    <col width="14" customWidth="1" min="8" max="8"/>
  </cols>
  <sheetData>
    <row r="1">
      <c r="A1" s="1" t="inlineStr">
        <is>
          <t>motorcycle_id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variant</t>
        </is>
      </c>
      <c r="E1" s="1" t="inlineStr">
        <is>
          <t>body_type</t>
        </is>
      </c>
      <c r="F1" s="1" t="inlineStr">
        <is>
          <t>segment_group</t>
        </is>
      </c>
      <c r="G1" s="1" t="inlineStr">
        <is>
          <t>video_collected</t>
        </is>
      </c>
      <c r="H1" s="1" t="inlineStr">
        <is>
          <t>status</t>
        </is>
      </c>
    </row>
    <row r="2">
      <c r="A2" s="2" t="inlineStr">
        <is>
          <t>aprilia_rs_457_standard</t>
        </is>
      </c>
      <c r="B2" s="2" t="inlineStr">
        <is>
          <t>Aprilia</t>
        </is>
      </c>
      <c r="C2" s="2" t="inlineStr">
        <is>
          <t>RS 457</t>
        </is>
      </c>
      <c r="D2" s="2" t="inlineStr">
        <is>
          <t>Standard</t>
        </is>
      </c>
      <c r="E2" s="2" t="inlineStr">
        <is>
          <t>Sport</t>
        </is>
      </c>
      <c r="F2" s="2" t="inlineStr">
        <is>
          <t>Premium/Performance ICE</t>
        </is>
      </c>
      <c r="G2" s="2">
        <f>IF(COUNTIFS(videos!$A:$A,A2,videos!$C:$C,"&lt;&gt;")&gt;=1,"Yes","No")</f>
        <v/>
      </c>
      <c r="H2" s="2">
        <f>IF(G2="Yes","Done","Not started")</f>
        <v/>
      </c>
    </row>
    <row r="3">
      <c r="A3" s="2" t="inlineStr">
        <is>
          <t>aprilia_rs_660_standard</t>
        </is>
      </c>
      <c r="B3" s="2" t="inlineStr">
        <is>
          <t>Aprilia</t>
        </is>
      </c>
      <c r="C3" s="2" t="inlineStr">
        <is>
          <t>RS 660</t>
        </is>
      </c>
      <c r="D3" s="2" t="inlineStr">
        <is>
          <t>Standard</t>
        </is>
      </c>
      <c r="E3" s="2" t="inlineStr">
        <is>
          <t>Sport</t>
        </is>
      </c>
      <c r="F3" s="2" t="inlineStr">
        <is>
          <t>Premium/Performance ICE</t>
        </is>
      </c>
      <c r="G3" s="2">
        <f>IF(COUNTIFS(videos!$A:$A,A3,videos!$C:$C,"&lt;&gt;")&gt;=1,"Yes","No")</f>
        <v/>
      </c>
      <c r="H3" s="2">
        <f>IF(G3="Yes","Done","Not started")</f>
        <v/>
      </c>
    </row>
    <row r="4">
      <c r="A4" s="2" t="inlineStr">
        <is>
          <t>aprilia_tuono_660_standard</t>
        </is>
      </c>
      <c r="B4" s="2" t="inlineStr">
        <is>
          <t>Aprilia</t>
        </is>
      </c>
      <c r="C4" s="2" t="inlineStr">
        <is>
          <t>Tuono 660</t>
        </is>
      </c>
      <c r="D4" s="2" t="inlineStr">
        <is>
          <t>Standard</t>
        </is>
      </c>
      <c r="E4" s="2" t="inlineStr">
        <is>
          <t>Naked/Street</t>
        </is>
      </c>
      <c r="F4" s="2" t="inlineStr">
        <is>
          <t>Premium/Performance ICE</t>
        </is>
      </c>
      <c r="G4" s="2">
        <f>IF(COUNTIFS(videos!$A:$A,A4,videos!$C:$C,"&lt;&gt;")&gt;=1,"Yes","No")</f>
        <v/>
      </c>
      <c r="H4" s="2">
        <f>IF(G4="Yes","Done","Not started")</f>
        <v/>
      </c>
    </row>
    <row r="5">
      <c r="A5" s="2" t="inlineStr">
        <is>
          <t>aprilia_tuareg_660_standard</t>
        </is>
      </c>
      <c r="B5" s="2" t="inlineStr">
        <is>
          <t>Aprilia</t>
        </is>
      </c>
      <c r="C5" s="2" t="inlineStr">
        <is>
          <t>Tuareg 660</t>
        </is>
      </c>
      <c r="D5" s="2" t="inlineStr">
        <is>
          <t>Standard</t>
        </is>
      </c>
      <c r="E5" s="2" t="inlineStr">
        <is>
          <t>Adventure</t>
        </is>
      </c>
      <c r="F5" s="2" t="inlineStr">
        <is>
          <t>Premium/Performance ICE</t>
        </is>
      </c>
      <c r="G5" s="2">
        <f>IF(COUNTIFS(videos!$A:$A,A5,videos!$C:$C,"&lt;&gt;")&gt;=1,"Yes","No")</f>
        <v/>
      </c>
      <c r="H5" s="2">
        <f>IF(G5="Yes","Done","Not started")</f>
        <v/>
      </c>
    </row>
    <row r="6">
      <c r="A6" s="2" t="inlineStr">
        <is>
          <t>aprilia_rsv4_factory_standard</t>
        </is>
      </c>
      <c r="B6" s="2" t="inlineStr">
        <is>
          <t>Aprilia</t>
        </is>
      </c>
      <c r="C6" s="2" t="inlineStr">
        <is>
          <t>RSV4 Factory</t>
        </is>
      </c>
      <c r="D6" s="2" t="inlineStr">
        <is>
          <t>Standard</t>
        </is>
      </c>
      <c r="E6" s="2" t="inlineStr">
        <is>
          <t>Superbike</t>
        </is>
      </c>
      <c r="F6" s="2" t="inlineStr">
        <is>
          <t>Premium/Performance ICE</t>
        </is>
      </c>
      <c r="G6" s="2">
        <f>IF(COUNTIFS(videos!$A:$A,A6,videos!$C:$C,"&lt;&gt;")&gt;=1,"Yes","No")</f>
        <v/>
      </c>
      <c r="H6" s="2">
        <f>IF(G6="Yes","Done","Not started")</f>
        <v/>
      </c>
    </row>
    <row r="7">
      <c r="A7" s="2" t="inlineStr">
        <is>
          <t>aprilia_sr_125_standard</t>
        </is>
      </c>
      <c r="B7" s="2" t="inlineStr">
        <is>
          <t>Aprilia</t>
        </is>
      </c>
      <c r="C7" s="2" t="inlineStr">
        <is>
          <t>SR 125</t>
        </is>
      </c>
      <c r="D7" s="2" t="inlineStr">
        <is>
          <t>Standard</t>
        </is>
      </c>
      <c r="E7" s="2" t="inlineStr">
        <is>
          <t>Scooter</t>
        </is>
      </c>
      <c r="F7" s="2" t="inlineStr">
        <is>
          <t>Mass-market ICE</t>
        </is>
      </c>
      <c r="G7" s="2">
        <f>IF(COUNTIFS(videos!$A:$A,A7,videos!$C:$C,"&lt;&gt;")&gt;=1,"Yes","No")</f>
        <v/>
      </c>
      <c r="H7" s="2">
        <f>IF(G7="Yes","Done","Not started")</f>
        <v/>
      </c>
    </row>
    <row r="8">
      <c r="A8" s="2" t="inlineStr">
        <is>
          <t>aprilia_sr_160_standard</t>
        </is>
      </c>
      <c r="B8" s="2" t="inlineStr">
        <is>
          <t>Aprilia</t>
        </is>
      </c>
      <c r="C8" s="2" t="inlineStr">
        <is>
          <t>SR 160</t>
        </is>
      </c>
      <c r="D8" s="2" t="inlineStr">
        <is>
          <t>Standard</t>
        </is>
      </c>
      <c r="E8" s="2" t="inlineStr">
        <is>
          <t>Scooter</t>
        </is>
      </c>
      <c r="F8" s="2" t="inlineStr">
        <is>
          <t>Mass-market ICE</t>
        </is>
      </c>
      <c r="G8" s="2">
        <f>IF(COUNTIFS(videos!$A:$A,A8,videos!$C:$C,"&lt;&gt;")&gt;=1,"Yes","No")</f>
        <v/>
      </c>
      <c r="H8" s="2">
        <f>IF(G8="Yes","Done","Not started")</f>
        <v/>
      </c>
    </row>
    <row r="9">
      <c r="A9" s="2" t="inlineStr">
        <is>
          <t>aprilia_sxr_160_standard</t>
        </is>
      </c>
      <c r="B9" s="2" t="inlineStr">
        <is>
          <t>Aprilia</t>
        </is>
      </c>
      <c r="C9" s="2" t="inlineStr">
        <is>
          <t>SXR 160</t>
        </is>
      </c>
      <c r="D9" s="2" t="inlineStr">
        <is>
          <t>Standard</t>
        </is>
      </c>
      <c r="E9" s="2" t="inlineStr">
        <is>
          <t>Scooter</t>
        </is>
      </c>
      <c r="F9" s="2" t="inlineStr">
        <is>
          <t>Premium/Performance ICE</t>
        </is>
      </c>
      <c r="G9" s="2">
        <f>IF(COUNTIFS(videos!$A:$A,A9,videos!$C:$C,"&lt;&gt;")&gt;=1,"Yes","No")</f>
        <v/>
      </c>
      <c r="H9" s="2">
        <f>IF(G9="Yes","Done","Not started")</f>
        <v/>
      </c>
    </row>
    <row r="10">
      <c r="A10" s="2" t="inlineStr">
        <is>
          <t>bajaj_ct_110x_standard</t>
        </is>
      </c>
      <c r="B10" s="2" t="inlineStr">
        <is>
          <t>Bajaj</t>
        </is>
      </c>
      <c r="C10" s="2" t="inlineStr">
        <is>
          <t>CT 110X</t>
        </is>
      </c>
      <c r="D10" s="2" t="inlineStr">
        <is>
          <t>Standard</t>
        </is>
      </c>
      <c r="E10" s="2" t="inlineStr">
        <is>
          <t>Commuter</t>
        </is>
      </c>
      <c r="F10" s="2" t="inlineStr">
        <is>
          <t>Mass-market ICE</t>
        </is>
      </c>
      <c r="G10" s="2">
        <f>IF(COUNTIFS(videos!$A:$A,A10,videos!$C:$C,"&lt;&gt;")&gt;=1,"Yes","No")</f>
        <v/>
      </c>
      <c r="H10" s="2">
        <f>IF(G10="Yes","Done","Not started")</f>
        <v/>
      </c>
    </row>
    <row r="11">
      <c r="A11" s="2" t="inlineStr">
        <is>
          <t>bajaj_platina_100_es_drum</t>
        </is>
      </c>
      <c r="B11" s="2" t="inlineStr">
        <is>
          <t>Bajaj</t>
        </is>
      </c>
      <c r="C11" s="2" t="inlineStr">
        <is>
          <t>Platina 100</t>
        </is>
      </c>
      <c r="D11" s="2" t="inlineStr">
        <is>
          <t>ES Drum</t>
        </is>
      </c>
      <c r="E11" s="2" t="inlineStr">
        <is>
          <t>Commuter</t>
        </is>
      </c>
      <c r="F11" s="2" t="inlineStr">
        <is>
          <t>Mass-market ICE</t>
        </is>
      </c>
      <c r="G11" s="2">
        <f>IF(COUNTIFS(videos!$A:$A,A11,videos!$C:$C,"&lt;&gt;")&gt;=1,"Yes","No")</f>
        <v/>
      </c>
      <c r="H11" s="2">
        <f>IF(G11="Yes","Done","Not started")</f>
        <v/>
      </c>
    </row>
    <row r="12">
      <c r="A12" s="2" t="inlineStr">
        <is>
          <t>bajaj_platina_110_abs</t>
        </is>
      </c>
      <c r="B12" s="2" t="inlineStr">
        <is>
          <t>Bajaj</t>
        </is>
      </c>
      <c r="C12" s="2" t="inlineStr">
        <is>
          <t>Platina 110</t>
        </is>
      </c>
      <c r="D12" s="2" t="inlineStr">
        <is>
          <t>ABS</t>
        </is>
      </c>
      <c r="E12" s="2" t="inlineStr">
        <is>
          <t>Commuter</t>
        </is>
      </c>
      <c r="F12" s="2" t="inlineStr">
        <is>
          <t>Mass-market ICE</t>
        </is>
      </c>
      <c r="G12" s="2">
        <f>IF(COUNTIFS(videos!$A:$A,A12,videos!$C:$C,"&lt;&gt;")&gt;=1,"Yes","No")</f>
        <v/>
      </c>
      <c r="H12" s="2">
        <f>IF(G12="Yes","Done","Not started")</f>
        <v/>
      </c>
    </row>
    <row r="13">
      <c r="A13" s="2" t="inlineStr">
        <is>
          <t>bajaj_freedom_125_cng_ng04_disc_led</t>
        </is>
      </c>
      <c r="B13" s="2" t="inlineStr">
        <is>
          <t>Bajaj</t>
        </is>
      </c>
      <c r="C13" s="2" t="inlineStr">
        <is>
          <t>Freedom 125 (CNG)</t>
        </is>
      </c>
      <c r="D13" s="2" t="inlineStr">
        <is>
          <t>NG04 Disc LED</t>
        </is>
      </c>
      <c r="E13" s="2" t="inlineStr">
        <is>
          <t>Commuter</t>
        </is>
      </c>
      <c r="F13" s="2" t="inlineStr">
        <is>
          <t>Mass-market ICE</t>
        </is>
      </c>
      <c r="G13" s="2">
        <f>IF(COUNTIFS(videos!$A:$A,A13,videos!$C:$C,"&lt;&gt;")&gt;=1,"Yes","No")</f>
        <v/>
      </c>
      <c r="H13" s="2">
        <f>IF(G13="Yes","Done","Not started")</f>
        <v/>
      </c>
    </row>
    <row r="14">
      <c r="A14" s="2" t="inlineStr">
        <is>
          <t>bajaj_pulsar_125_carbon_single_seat</t>
        </is>
      </c>
      <c r="B14" s="2" t="inlineStr">
        <is>
          <t>Bajaj</t>
        </is>
      </c>
      <c r="C14" s="2" t="inlineStr">
        <is>
          <t>Pulsar 125</t>
        </is>
      </c>
      <c r="D14" s="2" t="inlineStr">
        <is>
          <t>Carbon Single Seat</t>
        </is>
      </c>
      <c r="E14" s="2" t="inlineStr">
        <is>
          <t>Naked/Street</t>
        </is>
      </c>
      <c r="F14" s="2" t="inlineStr">
        <is>
          <t>Mass-market ICE</t>
        </is>
      </c>
      <c r="G14" s="2">
        <f>IF(COUNTIFS(videos!$A:$A,A14,videos!$C:$C,"&lt;&gt;")&gt;=1,"Yes","No")</f>
        <v/>
      </c>
      <c r="H14" s="2">
        <f>IF(G14="Yes","Done","Not started")</f>
        <v/>
      </c>
    </row>
    <row r="15">
      <c r="A15" s="2" t="inlineStr">
        <is>
          <t>bajaj_pulsar_n125_standard</t>
        </is>
      </c>
      <c r="B15" s="2" t="inlineStr">
        <is>
          <t>Bajaj</t>
        </is>
      </c>
      <c r="C15" s="2" t="inlineStr">
        <is>
          <t>Pulsar N125</t>
        </is>
      </c>
      <c r="D15" s="2" t="inlineStr">
        <is>
          <t>Standard</t>
        </is>
      </c>
      <c r="E15" s="2" t="inlineStr">
        <is>
          <t>Naked/Street</t>
        </is>
      </c>
      <c r="F15" s="2" t="inlineStr">
        <is>
          <t>Mass-market ICE</t>
        </is>
      </c>
      <c r="G15" s="2">
        <f>IF(COUNTIFS(videos!$A:$A,A15,videos!$C:$C,"&lt;&gt;")&gt;=1,"Yes","No")</f>
        <v/>
      </c>
      <c r="H15" s="2">
        <f>IF(G15="Yes","Done","Not started")</f>
        <v/>
      </c>
    </row>
    <row r="16">
      <c r="A16" s="2" t="inlineStr">
        <is>
          <t>bajaj_pulsar_ns125_standard</t>
        </is>
      </c>
      <c r="B16" s="2" t="inlineStr">
        <is>
          <t>Bajaj</t>
        </is>
      </c>
      <c r="C16" s="2" t="inlineStr">
        <is>
          <t>Pulsar NS125</t>
        </is>
      </c>
      <c r="D16" s="2" t="inlineStr">
        <is>
          <t>Standard</t>
        </is>
      </c>
      <c r="E16" s="2" t="inlineStr">
        <is>
          <t>Naked/Street</t>
        </is>
      </c>
      <c r="F16" s="2" t="inlineStr">
        <is>
          <t>Mass-market ICE</t>
        </is>
      </c>
      <c r="G16" s="2">
        <f>IF(COUNTIFS(videos!$A:$A,A16,videos!$C:$C,"&lt;&gt;")&gt;=1,"Yes","No")</f>
        <v/>
      </c>
      <c r="H16" s="2">
        <f>IF(G16="Yes","Done","Not started")</f>
        <v/>
      </c>
    </row>
    <row r="17">
      <c r="A17" s="2" t="inlineStr">
        <is>
          <t>bajaj_pulsar_150_single_disc</t>
        </is>
      </c>
      <c r="B17" s="2" t="inlineStr">
        <is>
          <t>Bajaj</t>
        </is>
      </c>
      <c r="C17" s="2" t="inlineStr">
        <is>
          <t>Pulsar 150</t>
        </is>
      </c>
      <c r="D17" s="2" t="inlineStr">
        <is>
          <t>Single Disc</t>
        </is>
      </c>
      <c r="E17" s="2" t="inlineStr">
        <is>
          <t>Naked/Street</t>
        </is>
      </c>
      <c r="F17" s="2" t="inlineStr">
        <is>
          <t>Mass-market ICE</t>
        </is>
      </c>
      <c r="G17" s="2">
        <f>IF(COUNTIFS(videos!$A:$A,A17,videos!$C:$C,"&lt;&gt;")&gt;=1,"Yes","No")</f>
        <v/>
      </c>
      <c r="H17" s="2">
        <f>IF(G17="Yes","Done","Not started")</f>
        <v/>
      </c>
    </row>
    <row r="18">
      <c r="A18" s="2" t="inlineStr">
        <is>
          <t>bajaj_pulsar_n160_dual_channel_abs</t>
        </is>
      </c>
      <c r="B18" s="2" t="inlineStr">
        <is>
          <t>Bajaj</t>
        </is>
      </c>
      <c r="C18" s="2" t="inlineStr">
        <is>
          <t>Pulsar N160</t>
        </is>
      </c>
      <c r="D18" s="2" t="inlineStr">
        <is>
          <t>Dual Channel ABS</t>
        </is>
      </c>
      <c r="E18" s="2" t="inlineStr">
        <is>
          <t>Naked/Street</t>
        </is>
      </c>
      <c r="F18" s="2" t="inlineStr">
        <is>
          <t>Mass-market ICE</t>
        </is>
      </c>
      <c r="G18" s="2">
        <f>IF(COUNTIFS(videos!$A:$A,A18,videos!$C:$C,"&lt;&gt;")&gt;=1,"Yes","No")</f>
        <v/>
      </c>
      <c r="H18" s="2">
        <f>IF(G18="Yes","Done","Not started")</f>
        <v/>
      </c>
    </row>
    <row r="19">
      <c r="A19" s="2" t="inlineStr">
        <is>
          <t>bajaj_pulsar_ns160_dual_channel_abs</t>
        </is>
      </c>
      <c r="B19" s="2" t="inlineStr">
        <is>
          <t>Bajaj</t>
        </is>
      </c>
      <c r="C19" s="2" t="inlineStr">
        <is>
          <t>Pulsar NS160</t>
        </is>
      </c>
      <c r="D19" s="2" t="inlineStr">
        <is>
          <t>Dual Channel ABS</t>
        </is>
      </c>
      <c r="E19" s="2" t="inlineStr">
        <is>
          <t>Naked/Street</t>
        </is>
      </c>
      <c r="F19" s="2" t="inlineStr">
        <is>
          <t>Mass-market ICE</t>
        </is>
      </c>
      <c r="G19" s="2">
        <f>IF(COUNTIFS(videos!$A:$A,A19,videos!$C:$C,"&lt;&gt;")&gt;=1,"Yes","No")</f>
        <v/>
      </c>
      <c r="H19" s="2">
        <f>IF(G19="Yes","Done","Not started")</f>
        <v/>
      </c>
    </row>
    <row r="20">
      <c r="A20" s="2" t="inlineStr">
        <is>
          <t>bajaj_pulsar_220f_standard</t>
        </is>
      </c>
      <c r="B20" s="2" t="inlineStr">
        <is>
          <t>Bajaj</t>
        </is>
      </c>
      <c r="C20" s="2" t="inlineStr">
        <is>
          <t>Pulsar 220F</t>
        </is>
      </c>
      <c r="D20" s="2" t="inlineStr">
        <is>
          <t>Standard</t>
        </is>
      </c>
      <c r="E20" s="2" t="inlineStr">
        <is>
          <t>Sport</t>
        </is>
      </c>
      <c r="F20" s="2" t="inlineStr">
        <is>
          <t>Premium/Performance ICE</t>
        </is>
      </c>
      <c r="G20" s="2">
        <f>IF(COUNTIFS(videos!$A:$A,A20,videos!$C:$C,"&lt;&gt;")&gt;=1,"Yes","No")</f>
        <v/>
      </c>
      <c r="H20" s="2">
        <f>IF(G20="Yes","Done","Not started")</f>
        <v/>
      </c>
    </row>
    <row r="21">
      <c r="A21" s="2" t="inlineStr">
        <is>
          <t>bajaj_pulsar_n250_standard</t>
        </is>
      </c>
      <c r="B21" s="2" t="inlineStr">
        <is>
          <t>Bajaj</t>
        </is>
      </c>
      <c r="C21" s="2" t="inlineStr">
        <is>
          <t>Pulsar N250</t>
        </is>
      </c>
      <c r="D21" s="2" t="inlineStr">
        <is>
          <t>Standard</t>
        </is>
      </c>
      <c r="E21" s="2" t="inlineStr">
        <is>
          <t>Naked/Street</t>
        </is>
      </c>
      <c r="F21" s="2" t="inlineStr">
        <is>
          <t>Premium/Performance ICE</t>
        </is>
      </c>
      <c r="G21" s="2">
        <f>IF(COUNTIFS(videos!$A:$A,A21,videos!$C:$C,"&lt;&gt;")&gt;=1,"Yes","No")</f>
        <v/>
      </c>
      <c r="H21" s="2">
        <f>IF(G21="Yes","Done","Not started")</f>
        <v/>
      </c>
    </row>
    <row r="22">
      <c r="A22" s="2" t="inlineStr">
        <is>
          <t>bajaj_pulsar_ns200_dual_channel_abs</t>
        </is>
      </c>
      <c r="B22" s="2" t="inlineStr">
        <is>
          <t>Bajaj</t>
        </is>
      </c>
      <c r="C22" s="2" t="inlineStr">
        <is>
          <t>Pulsar NS200</t>
        </is>
      </c>
      <c r="D22" s="2" t="inlineStr">
        <is>
          <t>Dual Channel ABS</t>
        </is>
      </c>
      <c r="E22" s="2" t="inlineStr">
        <is>
          <t>Naked/Street</t>
        </is>
      </c>
      <c r="F22" s="2" t="inlineStr">
        <is>
          <t>Premium/Performance ICE</t>
        </is>
      </c>
      <c r="G22" s="2">
        <f>IF(COUNTIFS(videos!$A:$A,A22,videos!$C:$C,"&lt;&gt;")&gt;=1,"Yes","No")</f>
        <v/>
      </c>
      <c r="H22" s="2">
        <f>IF(G22="Yes","Done","Not started")</f>
        <v/>
      </c>
    </row>
    <row r="23">
      <c r="A23" s="2" t="inlineStr">
        <is>
          <t>bajaj_pulsar_rs200_dual_channel_abs</t>
        </is>
      </c>
      <c r="B23" s="2" t="inlineStr">
        <is>
          <t>Bajaj</t>
        </is>
      </c>
      <c r="C23" s="2" t="inlineStr">
        <is>
          <t>Pulsar RS200</t>
        </is>
      </c>
      <c r="D23" s="2" t="inlineStr">
        <is>
          <t>Dual Channel ABS</t>
        </is>
      </c>
      <c r="E23" s="2" t="inlineStr">
        <is>
          <t>Sport</t>
        </is>
      </c>
      <c r="F23" s="2" t="inlineStr">
        <is>
          <t>Premium/Performance ICE</t>
        </is>
      </c>
      <c r="G23" s="2">
        <f>IF(COUNTIFS(videos!$A:$A,A23,videos!$C:$C,"&lt;&gt;")&gt;=1,"Yes","No")</f>
        <v/>
      </c>
      <c r="H23" s="2">
        <f>IF(G23="Yes","Done","Not started")</f>
        <v/>
      </c>
    </row>
    <row r="24">
      <c r="A24" s="2" t="inlineStr">
        <is>
          <t>bajaj_pulsar_ns400z_standard</t>
        </is>
      </c>
      <c r="B24" s="2" t="inlineStr">
        <is>
          <t>Bajaj</t>
        </is>
      </c>
      <c r="C24" s="2" t="inlineStr">
        <is>
          <t>Pulsar NS400Z</t>
        </is>
      </c>
      <c r="D24" s="2" t="inlineStr">
        <is>
          <t>Standard</t>
        </is>
      </c>
      <c r="E24" s="2" t="inlineStr">
        <is>
          <t>Naked/Street</t>
        </is>
      </c>
      <c r="F24" s="2" t="inlineStr">
        <is>
          <t>Premium/Performance ICE</t>
        </is>
      </c>
      <c r="G24" s="2">
        <f>IF(COUNTIFS(videos!$A:$A,A24,videos!$C:$C,"&lt;&gt;")&gt;=1,"Yes","No")</f>
        <v/>
      </c>
      <c r="H24" s="2">
        <f>IF(G24="Yes","Done","Not started")</f>
        <v/>
      </c>
    </row>
    <row r="25">
      <c r="A25" s="2" t="inlineStr">
        <is>
          <t>bajaj_avenger_street_160_standard</t>
        </is>
      </c>
      <c r="B25" s="2" t="inlineStr">
        <is>
          <t>Bajaj</t>
        </is>
      </c>
      <c r="C25" s="2" t="inlineStr">
        <is>
          <t>Avenger Street 160</t>
        </is>
      </c>
      <c r="D25" s="2" t="inlineStr">
        <is>
          <t>Standard</t>
        </is>
      </c>
      <c r="E25" s="2" t="inlineStr">
        <is>
          <t>Cruiser</t>
        </is>
      </c>
      <c r="F25" s="2" t="inlineStr">
        <is>
          <t>Mass-market ICE</t>
        </is>
      </c>
      <c r="G25" s="2">
        <f>IF(COUNTIFS(videos!$A:$A,A25,videos!$C:$C,"&lt;&gt;")&gt;=1,"Yes","No")</f>
        <v/>
      </c>
      <c r="H25" s="2">
        <f>IF(G25="Yes","Done","Not started")</f>
        <v/>
      </c>
    </row>
    <row r="26">
      <c r="A26" s="2" t="inlineStr">
        <is>
          <t>bajaj_avenger_cruise_220_standard</t>
        </is>
      </c>
      <c r="B26" s="2" t="inlineStr">
        <is>
          <t>Bajaj</t>
        </is>
      </c>
      <c r="C26" s="2" t="inlineStr">
        <is>
          <t>Avenger Cruise 220</t>
        </is>
      </c>
      <c r="D26" s="2" t="inlineStr">
        <is>
          <t>Standard</t>
        </is>
      </c>
      <c r="E26" s="2" t="inlineStr">
        <is>
          <t>Cruiser</t>
        </is>
      </c>
      <c r="F26" s="2" t="inlineStr">
        <is>
          <t>Premium/Performance ICE</t>
        </is>
      </c>
      <c r="G26" s="2">
        <f>IF(COUNTIFS(videos!$A:$A,A26,videos!$C:$C,"&lt;&gt;")&gt;=1,"Yes","No")</f>
        <v/>
      </c>
      <c r="H26" s="2">
        <f>IF(G26="Yes","Done","Not started")</f>
        <v/>
      </c>
    </row>
    <row r="27">
      <c r="A27" s="2" t="inlineStr">
        <is>
          <t>bajaj_dominar_250_standard</t>
        </is>
      </c>
      <c r="B27" s="2" t="inlineStr">
        <is>
          <t>Bajaj</t>
        </is>
      </c>
      <c r="C27" s="2" t="inlineStr">
        <is>
          <t>Dominar 250</t>
        </is>
      </c>
      <c r="D27" s="2" t="inlineStr">
        <is>
          <t>Standard</t>
        </is>
      </c>
      <c r="E27" s="2" t="inlineStr">
        <is>
          <t>Tourer</t>
        </is>
      </c>
      <c r="F27" s="2" t="inlineStr">
        <is>
          <t>Premium/Performance ICE</t>
        </is>
      </c>
      <c r="G27" s="2">
        <f>IF(COUNTIFS(videos!$A:$A,A27,videos!$C:$C,"&lt;&gt;")&gt;=1,"Yes","No")</f>
        <v/>
      </c>
      <c r="H27" s="2">
        <f>IF(G27="Yes","Done","Not started")</f>
        <v/>
      </c>
    </row>
    <row r="28">
      <c r="A28" s="2" t="inlineStr">
        <is>
          <t>bajaj_dominar_400_standard</t>
        </is>
      </c>
      <c r="B28" s="2" t="inlineStr">
        <is>
          <t>Bajaj</t>
        </is>
      </c>
      <c r="C28" s="2" t="inlineStr">
        <is>
          <t>Dominar 400</t>
        </is>
      </c>
      <c r="D28" s="2" t="inlineStr">
        <is>
          <t>Standard</t>
        </is>
      </c>
      <c r="E28" s="2" t="inlineStr">
        <is>
          <t>Tourer</t>
        </is>
      </c>
      <c r="F28" s="2" t="inlineStr">
        <is>
          <t>Premium/Performance ICE</t>
        </is>
      </c>
      <c r="G28" s="2">
        <f>IF(COUNTIFS(videos!$A:$A,A28,videos!$C:$C,"&lt;&gt;")&gt;=1,"Yes","No")</f>
        <v/>
      </c>
      <c r="H28" s="2">
        <f>IF(G28="Yes","Done","Not started")</f>
        <v/>
      </c>
    </row>
    <row r="29">
      <c r="A29" s="2" t="inlineStr">
        <is>
          <t>benelli_imperiale_400_standard</t>
        </is>
      </c>
      <c r="B29" s="2" t="inlineStr">
        <is>
          <t>Benelli</t>
        </is>
      </c>
      <c r="C29" s="2" t="inlineStr">
        <is>
          <t>Imperiale 400</t>
        </is>
      </c>
      <c r="D29" s="2" t="inlineStr">
        <is>
          <t>Standard</t>
        </is>
      </c>
      <c r="E29" s="2" t="inlineStr">
        <is>
          <t>Cruiser</t>
        </is>
      </c>
      <c r="F29" s="2" t="inlineStr">
        <is>
          <t>Premium/Performance ICE</t>
        </is>
      </c>
      <c r="G29" s="2">
        <f>IF(COUNTIFS(videos!$A:$A,A29,videos!$C:$C,"&lt;&gt;")&gt;=1,"Yes","No")</f>
        <v/>
      </c>
      <c r="H29" s="2">
        <f>IF(G29="Yes","Done","Not started")</f>
        <v/>
      </c>
    </row>
    <row r="30">
      <c r="A30" s="2" t="inlineStr">
        <is>
          <t>benelli_trk_251_standard</t>
        </is>
      </c>
      <c r="B30" s="2" t="inlineStr">
        <is>
          <t>Benelli</t>
        </is>
      </c>
      <c r="C30" s="2" t="inlineStr">
        <is>
          <t>TRK 251</t>
        </is>
      </c>
      <c r="D30" s="2" t="inlineStr">
        <is>
          <t>Standard</t>
        </is>
      </c>
      <c r="E30" s="2" t="inlineStr">
        <is>
          <t>Adventure</t>
        </is>
      </c>
      <c r="F30" s="2" t="inlineStr">
        <is>
          <t>Premium/Performance ICE</t>
        </is>
      </c>
      <c r="G30" s="2">
        <f>IF(COUNTIFS(videos!$A:$A,A30,videos!$C:$C,"&lt;&gt;")&gt;=1,"Yes","No")</f>
        <v/>
      </c>
      <c r="H30" s="2">
        <f>IF(G30="Yes","Done","Not started")</f>
        <v/>
      </c>
    </row>
    <row r="31">
      <c r="A31" s="2" t="inlineStr">
        <is>
          <t>benelli_trk_502_std</t>
        </is>
      </c>
      <c r="B31" s="2" t="inlineStr">
        <is>
          <t>Benelli</t>
        </is>
      </c>
      <c r="C31" s="2" t="inlineStr">
        <is>
          <t>TRK 502</t>
        </is>
      </c>
      <c r="D31" s="2" t="inlineStr">
        <is>
          <t>STD</t>
        </is>
      </c>
      <c r="E31" s="2" t="inlineStr">
        <is>
          <t>Adventure</t>
        </is>
      </c>
      <c r="F31" s="2" t="inlineStr">
        <is>
          <t>Premium/Performance ICE</t>
        </is>
      </c>
      <c r="G31" s="2">
        <f>IF(COUNTIFS(videos!$A:$A,A31,videos!$C:$C,"&lt;&gt;")&gt;=1,"Yes","No")</f>
        <v/>
      </c>
      <c r="H31" s="2">
        <f>IF(G31="Yes","Done","Not started")</f>
        <v/>
      </c>
    </row>
    <row r="32">
      <c r="A32" s="2" t="inlineStr">
        <is>
          <t>benelli_trk_502x_standard</t>
        </is>
      </c>
      <c r="B32" s="2" t="inlineStr">
        <is>
          <t>Benelli</t>
        </is>
      </c>
      <c r="C32" s="2" t="inlineStr">
        <is>
          <t>TRK 502X</t>
        </is>
      </c>
      <c r="D32" s="2" t="inlineStr">
        <is>
          <t>Standard</t>
        </is>
      </c>
      <c r="E32" s="2" t="inlineStr">
        <is>
          <t>Adventure</t>
        </is>
      </c>
      <c r="F32" s="2" t="inlineStr">
        <is>
          <t>Premium/Performance ICE</t>
        </is>
      </c>
      <c r="G32" s="2">
        <f>IF(COUNTIFS(videos!$A:$A,A32,videos!$C:$C,"&lt;&gt;")&gt;=1,"Yes","No")</f>
        <v/>
      </c>
      <c r="H32" s="2">
        <f>IF(G32="Yes","Done","Not started")</f>
        <v/>
      </c>
    </row>
    <row r="33">
      <c r="A33" s="2" t="inlineStr">
        <is>
          <t>benelli_leoncino_500_standard</t>
        </is>
      </c>
      <c r="B33" s="2" t="inlineStr">
        <is>
          <t>Benelli</t>
        </is>
      </c>
      <c r="C33" s="2" t="inlineStr">
        <is>
          <t>Leoncino 500</t>
        </is>
      </c>
      <c r="D33" s="2" t="inlineStr">
        <is>
          <t>Standard</t>
        </is>
      </c>
      <c r="E33" s="2" t="inlineStr">
        <is>
          <t>Naked/Street</t>
        </is>
      </c>
      <c r="F33" s="2" t="inlineStr">
        <is>
          <t>Premium/Performance ICE</t>
        </is>
      </c>
      <c r="G33" s="2">
        <f>IF(COUNTIFS(videos!$A:$A,A33,videos!$C:$C,"&lt;&gt;")&gt;=1,"Yes","No")</f>
        <v/>
      </c>
      <c r="H33" s="2">
        <f>IF(G33="Yes","Done","Not started")</f>
        <v/>
      </c>
    </row>
    <row r="34">
      <c r="A34" s="2" t="inlineStr">
        <is>
          <t>benelli_502c_standard</t>
        </is>
      </c>
      <c r="B34" s="2" t="inlineStr">
        <is>
          <t>Benelli</t>
        </is>
      </c>
      <c r="C34" s="2" t="inlineStr">
        <is>
          <t>502C</t>
        </is>
      </c>
      <c r="D34" s="2" t="inlineStr">
        <is>
          <t>Standard</t>
        </is>
      </c>
      <c r="E34" s="2" t="inlineStr">
        <is>
          <t>Cruiser</t>
        </is>
      </c>
      <c r="F34" s="2" t="inlineStr">
        <is>
          <t>Premium/Performance ICE</t>
        </is>
      </c>
      <c r="G34" s="2">
        <f>IF(COUNTIFS(videos!$A:$A,A34,videos!$C:$C,"&lt;&gt;")&gt;=1,"Yes","No")</f>
        <v/>
      </c>
      <c r="H34" s="2">
        <f>IF(G34="Yes","Done","Not started")</f>
        <v/>
      </c>
    </row>
    <row r="35">
      <c r="A35" s="2" t="inlineStr">
        <is>
          <t>bmw_motorrad_g_310_r_standard</t>
        </is>
      </c>
      <c r="B35" s="2" t="inlineStr">
        <is>
          <t>BMW Motorrad</t>
        </is>
      </c>
      <c r="C35" s="2" t="inlineStr">
        <is>
          <t>G 310 R</t>
        </is>
      </c>
      <c r="D35" s="2" t="inlineStr">
        <is>
          <t>Standard</t>
        </is>
      </c>
      <c r="E35" s="2" t="inlineStr">
        <is>
          <t>Naked/Street</t>
        </is>
      </c>
      <c r="F35" s="2" t="inlineStr">
        <is>
          <t>Premium/Performance ICE</t>
        </is>
      </c>
      <c r="G35" s="2">
        <f>IF(COUNTIFS(videos!$A:$A,A35,videos!$C:$C,"&lt;&gt;")&gt;=1,"Yes","No")</f>
        <v/>
      </c>
      <c r="H35" s="2">
        <f>IF(G35="Yes","Done","Not started")</f>
        <v/>
      </c>
    </row>
    <row r="36">
      <c r="A36" s="2" t="inlineStr">
        <is>
          <t>bmw_motorrad_g_310_gs_standard</t>
        </is>
      </c>
      <c r="B36" s="2" t="inlineStr">
        <is>
          <t>BMW Motorrad</t>
        </is>
      </c>
      <c r="C36" s="2" t="inlineStr">
        <is>
          <t>G 310 GS</t>
        </is>
      </c>
      <c r="D36" s="2" t="inlineStr">
        <is>
          <t>Standard</t>
        </is>
      </c>
      <c r="E36" s="2" t="inlineStr">
        <is>
          <t>Adventure</t>
        </is>
      </c>
      <c r="F36" s="2" t="inlineStr">
        <is>
          <t>Premium/Performance ICE</t>
        </is>
      </c>
      <c r="G36" s="2">
        <f>IF(COUNTIFS(videos!$A:$A,A36,videos!$C:$C,"&lt;&gt;")&gt;=1,"Yes","No")</f>
        <v/>
      </c>
      <c r="H36" s="2">
        <f>IF(G36="Yes","Done","Not started")</f>
        <v/>
      </c>
    </row>
    <row r="37">
      <c r="A37" s="2" t="inlineStr">
        <is>
          <t>bmw_motorrad_g_310_rr_standard</t>
        </is>
      </c>
      <c r="B37" s="2" t="inlineStr">
        <is>
          <t>BMW Motorrad</t>
        </is>
      </c>
      <c r="C37" s="2" t="inlineStr">
        <is>
          <t>G 310 RR</t>
        </is>
      </c>
      <c r="D37" s="2" t="inlineStr">
        <is>
          <t>Standard</t>
        </is>
      </c>
      <c r="E37" s="2" t="inlineStr">
        <is>
          <t>Sport</t>
        </is>
      </c>
      <c r="F37" s="2" t="inlineStr">
        <is>
          <t>Premium/Performance ICE</t>
        </is>
      </c>
      <c r="G37" s="2">
        <f>IF(COUNTIFS(videos!$A:$A,A37,videos!$C:$C,"&lt;&gt;")&gt;=1,"Yes","No")</f>
        <v/>
      </c>
      <c r="H37" s="2">
        <f>IF(G37="Yes","Done","Not started")</f>
        <v/>
      </c>
    </row>
    <row r="38">
      <c r="A38" s="2" t="inlineStr">
        <is>
          <t>bmw_motorrad_f_900_xr_standard</t>
        </is>
      </c>
      <c r="B38" s="2" t="inlineStr">
        <is>
          <t>BMW Motorrad</t>
        </is>
      </c>
      <c r="C38" s="2" t="inlineStr">
        <is>
          <t>F 900 XR</t>
        </is>
      </c>
      <c r="D38" s="2" t="inlineStr">
        <is>
          <t>Standard</t>
        </is>
      </c>
      <c r="E38" s="2" t="inlineStr">
        <is>
          <t>Tourer</t>
        </is>
      </c>
      <c r="F38" s="2" t="inlineStr">
        <is>
          <t>Premium/Performance ICE</t>
        </is>
      </c>
      <c r="G38" s="2">
        <f>IF(COUNTIFS(videos!$A:$A,A38,videos!$C:$C,"&lt;&gt;")&gt;=1,"Yes","No")</f>
        <v/>
      </c>
      <c r="H38" s="2">
        <f>IF(G38="Yes","Done","Not started")</f>
        <v/>
      </c>
    </row>
    <row r="39">
      <c r="A39" s="2" t="inlineStr">
        <is>
          <t>bmw_motorrad_s_1000_rr_standard</t>
        </is>
      </c>
      <c r="B39" s="2" t="inlineStr">
        <is>
          <t>BMW Motorrad</t>
        </is>
      </c>
      <c r="C39" s="2" t="inlineStr">
        <is>
          <t>S 1000 RR</t>
        </is>
      </c>
      <c r="D39" s="2" t="inlineStr">
        <is>
          <t>Standard</t>
        </is>
      </c>
      <c r="E39" s="2" t="inlineStr">
        <is>
          <t>Superbike</t>
        </is>
      </c>
      <c r="F39" s="2" t="inlineStr">
        <is>
          <t>Premium/Performance ICE</t>
        </is>
      </c>
      <c r="G39" s="2">
        <f>IF(COUNTIFS(videos!$A:$A,A39,videos!$C:$C,"&lt;&gt;")&gt;=1,"Yes","No")</f>
        <v/>
      </c>
      <c r="H39" s="2">
        <f>IF(G39="Yes","Done","Not started")</f>
        <v/>
      </c>
    </row>
    <row r="40">
      <c r="A40" s="2" t="inlineStr">
        <is>
          <t>bmw_motorrad_s_1000_xr_standard</t>
        </is>
      </c>
      <c r="B40" s="2" t="inlineStr">
        <is>
          <t>BMW Motorrad</t>
        </is>
      </c>
      <c r="C40" s="2" t="inlineStr">
        <is>
          <t>S 1000 XR</t>
        </is>
      </c>
      <c r="D40" s="2" t="inlineStr">
        <is>
          <t>Standard</t>
        </is>
      </c>
      <c r="E40" s="2" t="inlineStr">
        <is>
          <t>Tourer</t>
        </is>
      </c>
      <c r="F40" s="2" t="inlineStr">
        <is>
          <t>Premium/Performance ICE</t>
        </is>
      </c>
      <c r="G40" s="2">
        <f>IF(COUNTIFS(videos!$A:$A,A40,videos!$C:$C,"&lt;&gt;")&gt;=1,"Yes","No")</f>
        <v/>
      </c>
      <c r="H40" s="2">
        <f>IF(G40="Yes","Done","Not started")</f>
        <v/>
      </c>
    </row>
    <row r="41">
      <c r="A41" s="2" t="inlineStr">
        <is>
          <t>bmw_motorrad_m_1000_rr_standard</t>
        </is>
      </c>
      <c r="B41" s="2" t="inlineStr">
        <is>
          <t>BMW Motorrad</t>
        </is>
      </c>
      <c r="C41" s="2" t="inlineStr">
        <is>
          <t>M 1000 RR</t>
        </is>
      </c>
      <c r="D41" s="2" t="inlineStr">
        <is>
          <t>Standard</t>
        </is>
      </c>
      <c r="E41" s="2" t="inlineStr">
        <is>
          <t>Superbike</t>
        </is>
      </c>
      <c r="F41" s="2" t="inlineStr">
        <is>
          <t>Premium/Performance ICE</t>
        </is>
      </c>
      <c r="G41" s="2">
        <f>IF(COUNTIFS(videos!$A:$A,A41,videos!$C:$C,"&lt;&gt;")&gt;=1,"Yes","No")</f>
        <v/>
      </c>
      <c r="H41" s="2">
        <f>IF(G41="Yes","Done","Not started")</f>
        <v/>
      </c>
    </row>
    <row r="42">
      <c r="A42" s="2" t="inlineStr">
        <is>
          <t>bmw_motorrad_r_1250_gs_standard</t>
        </is>
      </c>
      <c r="B42" s="2" t="inlineStr">
        <is>
          <t>BMW Motorrad</t>
        </is>
      </c>
      <c r="C42" s="2" t="inlineStr">
        <is>
          <t>R 1250 GS</t>
        </is>
      </c>
      <c r="D42" s="2" t="inlineStr">
        <is>
          <t>Standard</t>
        </is>
      </c>
      <c r="E42" s="2" t="inlineStr">
        <is>
          <t>Adventure</t>
        </is>
      </c>
      <c r="F42" s="2" t="inlineStr">
        <is>
          <t>Premium/Performance ICE</t>
        </is>
      </c>
      <c r="G42" s="2">
        <f>IF(COUNTIFS(videos!$A:$A,A42,videos!$C:$C,"&lt;&gt;")&gt;=1,"Yes","No")</f>
        <v/>
      </c>
      <c r="H42" s="2">
        <f>IF(G42="Yes","Done","Not started")</f>
        <v/>
      </c>
    </row>
    <row r="43">
      <c r="A43" s="2" t="inlineStr">
        <is>
          <t>bmw_motorrad_r_1300_gs_standard</t>
        </is>
      </c>
      <c r="B43" s="2" t="inlineStr">
        <is>
          <t>BMW Motorrad</t>
        </is>
      </c>
      <c r="C43" s="2" t="inlineStr">
        <is>
          <t>R 1300 GS</t>
        </is>
      </c>
      <c r="D43" s="2" t="inlineStr">
        <is>
          <t>Standard</t>
        </is>
      </c>
      <c r="E43" s="2" t="inlineStr">
        <is>
          <t>Adventure</t>
        </is>
      </c>
      <c r="F43" s="2" t="inlineStr">
        <is>
          <t>Premium/Performance ICE</t>
        </is>
      </c>
      <c r="G43" s="2">
        <f>IF(COUNTIFS(videos!$A:$A,A43,videos!$C:$C,"&lt;&gt;")&gt;=1,"Yes","No")</f>
        <v/>
      </c>
      <c r="H43" s="2">
        <f>IF(G43="Yes","Done","Not started")</f>
        <v/>
      </c>
    </row>
    <row r="44">
      <c r="A44" s="2" t="inlineStr">
        <is>
          <t>bmw_motorrad_r_18_standard</t>
        </is>
      </c>
      <c r="B44" s="2" t="inlineStr">
        <is>
          <t>BMW Motorrad</t>
        </is>
      </c>
      <c r="C44" s="2" t="inlineStr">
        <is>
          <t>R 18</t>
        </is>
      </c>
      <c r="D44" s="2" t="inlineStr">
        <is>
          <t>Standard</t>
        </is>
      </c>
      <c r="E44" s="2" t="inlineStr">
        <is>
          <t>Cruiser</t>
        </is>
      </c>
      <c r="F44" s="2" t="inlineStr">
        <is>
          <t>Premium/Performance ICE</t>
        </is>
      </c>
      <c r="G44" s="2">
        <f>IF(COUNTIFS(videos!$A:$A,A44,videos!$C:$C,"&lt;&gt;")&gt;=1,"Yes","No")</f>
        <v/>
      </c>
      <c r="H44" s="2">
        <f>IF(G44="Yes","Done","Not started")</f>
        <v/>
      </c>
    </row>
    <row r="45">
      <c r="A45" s="2" t="inlineStr">
        <is>
          <t>bmw_motorrad_ce_04_standard</t>
        </is>
      </c>
      <c r="B45" s="2" t="inlineStr">
        <is>
          <t>BMW Motorrad</t>
        </is>
      </c>
      <c r="C45" s="2" t="inlineStr">
        <is>
          <t>CE 04</t>
        </is>
      </c>
      <c r="D45" s="2" t="inlineStr">
        <is>
          <t>Standard</t>
        </is>
      </c>
      <c r="E45" s="2" t="inlineStr">
        <is>
          <t>Scooter</t>
        </is>
      </c>
      <c r="F45" s="2" t="inlineStr">
        <is>
          <t>Electric - Established</t>
        </is>
      </c>
      <c r="G45" s="2">
        <f>IF(COUNTIFS(videos!$A:$A,A45,videos!$C:$C,"&lt;&gt;")&gt;=1,"Yes","No")</f>
        <v/>
      </c>
      <c r="H45" s="2">
        <f>IF(G45="Yes","Done","Not started")</f>
        <v/>
      </c>
    </row>
    <row r="46">
      <c r="A46" s="2" t="inlineStr">
        <is>
          <t>brixton_motorcycles_crossfire_500_x_standard</t>
        </is>
      </c>
      <c r="B46" s="2" t="inlineStr">
        <is>
          <t>Brixton Motorcycles</t>
        </is>
      </c>
      <c r="C46" s="2" t="inlineStr">
        <is>
          <t>Crossfire 500 X</t>
        </is>
      </c>
      <c r="D46" s="2" t="inlineStr">
        <is>
          <t>Standard</t>
        </is>
      </c>
      <c r="E46" s="2" t="inlineStr">
        <is>
          <t>Naked/Street</t>
        </is>
      </c>
      <c r="F46" s="2" t="inlineStr">
        <is>
          <t>Premium/Performance ICE</t>
        </is>
      </c>
      <c r="G46" s="2">
        <f>IF(COUNTIFS(videos!$A:$A,A46,videos!$C:$C,"&lt;&gt;")&gt;=1,"Yes","No")</f>
        <v/>
      </c>
      <c r="H46" s="2">
        <f>IF(G46="Yes","Done","Not started")</f>
        <v/>
      </c>
    </row>
    <row r="47">
      <c r="A47" s="2" t="inlineStr">
        <is>
          <t>brixton_motorcycles_crossfire_500_xc_standard</t>
        </is>
      </c>
      <c r="B47" s="2" t="inlineStr">
        <is>
          <t>Brixton Motorcycles</t>
        </is>
      </c>
      <c r="C47" s="2" t="inlineStr">
        <is>
          <t>Crossfire 500 XC</t>
        </is>
      </c>
      <c r="D47" s="2" t="inlineStr">
        <is>
          <t>Standard</t>
        </is>
      </c>
      <c r="E47" s="2" t="inlineStr">
        <is>
          <t>Adventure</t>
        </is>
      </c>
      <c r="F47" s="2" t="inlineStr">
        <is>
          <t>Premium/Performance ICE</t>
        </is>
      </c>
      <c r="G47" s="2">
        <f>IF(COUNTIFS(videos!$A:$A,A47,videos!$C:$C,"&lt;&gt;")&gt;=1,"Yes","No")</f>
        <v/>
      </c>
      <c r="H47" s="2">
        <f>IF(G47="Yes","Done","Not started")</f>
        <v/>
      </c>
    </row>
    <row r="48">
      <c r="A48" s="2" t="inlineStr">
        <is>
          <t>brixton_motorcycles_cromwell_1200_standard</t>
        </is>
      </c>
      <c r="B48" s="2" t="inlineStr">
        <is>
          <t>Brixton Motorcycles</t>
        </is>
      </c>
      <c r="C48" s="2" t="inlineStr">
        <is>
          <t>Cromwell 1200</t>
        </is>
      </c>
      <c r="D48" s="2" t="inlineStr">
        <is>
          <t>Standard</t>
        </is>
      </c>
      <c r="E48" s="2" t="inlineStr">
        <is>
          <t>Cruiser</t>
        </is>
      </c>
      <c r="F48" s="2" t="inlineStr">
        <is>
          <t>Premium/Performance ICE</t>
        </is>
      </c>
      <c r="G48" s="2">
        <f>IF(COUNTIFS(videos!$A:$A,A48,videos!$C:$C,"&lt;&gt;")&gt;=1,"Yes","No")</f>
        <v/>
      </c>
      <c r="H48" s="2">
        <f>IF(G48="Yes","Done","Not started")</f>
        <v/>
      </c>
    </row>
    <row r="49">
      <c r="A49" s="2" t="inlineStr">
        <is>
          <t>bsa_gold_star_650_highland_green</t>
        </is>
      </c>
      <c r="B49" s="2" t="inlineStr">
        <is>
          <t>BSA</t>
        </is>
      </c>
      <c r="C49" s="2" t="inlineStr">
        <is>
          <t>Gold Star 650</t>
        </is>
      </c>
      <c r="D49" s="2" t="inlineStr">
        <is>
          <t>Highland Green</t>
        </is>
      </c>
      <c r="E49" s="2" t="inlineStr">
        <is>
          <t>Cruiser</t>
        </is>
      </c>
      <c r="F49" s="2" t="inlineStr">
        <is>
          <t>Premium/Performance ICE</t>
        </is>
      </c>
      <c r="G49" s="2">
        <f>IF(COUNTIFS(videos!$A:$A,A49,videos!$C:$C,"&lt;&gt;")&gt;=1,"Yes","No")</f>
        <v/>
      </c>
      <c r="H49" s="2">
        <f>IF(G49="Yes","Done","Not started")</f>
        <v/>
      </c>
    </row>
    <row r="50">
      <c r="A50" s="2" t="inlineStr">
        <is>
          <t>ducati_monster_standard</t>
        </is>
      </c>
      <c r="B50" s="2" t="inlineStr">
        <is>
          <t>Ducati</t>
        </is>
      </c>
      <c r="C50" s="2" t="inlineStr">
        <is>
          <t>Monster</t>
        </is>
      </c>
      <c r="D50" s="2" t="inlineStr">
        <is>
          <t>Standard</t>
        </is>
      </c>
      <c r="E50" s="2" t="inlineStr">
        <is>
          <t>Naked/Street</t>
        </is>
      </c>
      <c r="F50" s="2" t="inlineStr">
        <is>
          <t>Premium/Performance ICE</t>
        </is>
      </c>
      <c r="G50" s="2">
        <f>IF(COUNTIFS(videos!$A:$A,A50,videos!$C:$C,"&lt;&gt;")&gt;=1,"Yes","No")</f>
        <v/>
      </c>
      <c r="H50" s="2">
        <f>IF(G50="Yes","Done","Not started")</f>
        <v/>
      </c>
    </row>
    <row r="51">
      <c r="A51" s="2" t="inlineStr">
        <is>
          <t>ducati_hypermotard_698_mono_standard</t>
        </is>
      </c>
      <c r="B51" s="2" t="inlineStr">
        <is>
          <t>Ducati</t>
        </is>
      </c>
      <c r="C51" s="2" t="inlineStr">
        <is>
          <t>Hypermotard 698 Mono</t>
        </is>
      </c>
      <c r="D51" s="2" t="inlineStr">
        <is>
          <t>Standard</t>
        </is>
      </c>
      <c r="E51" s="2" t="inlineStr">
        <is>
          <t>Naked/Street</t>
        </is>
      </c>
      <c r="F51" s="2" t="inlineStr">
        <is>
          <t>Premium/Performance ICE</t>
        </is>
      </c>
      <c r="G51" s="2">
        <f>IF(COUNTIFS(videos!$A:$A,A51,videos!$C:$C,"&lt;&gt;")&gt;=1,"Yes","No")</f>
        <v/>
      </c>
      <c r="H51" s="2">
        <f>IF(G51="Yes","Done","Not started")</f>
        <v/>
      </c>
    </row>
    <row r="52">
      <c r="A52" s="2" t="inlineStr">
        <is>
          <t>ducati_hypermotard_950_standard</t>
        </is>
      </c>
      <c r="B52" s="2" t="inlineStr">
        <is>
          <t>Ducati</t>
        </is>
      </c>
      <c r="C52" s="2" t="inlineStr">
        <is>
          <t>Hypermotard 950</t>
        </is>
      </c>
      <c r="D52" s="2" t="inlineStr">
        <is>
          <t>Standard</t>
        </is>
      </c>
      <c r="E52" s="2" t="inlineStr">
        <is>
          <t>Naked/Street</t>
        </is>
      </c>
      <c r="F52" s="2" t="inlineStr">
        <is>
          <t>Premium/Performance ICE</t>
        </is>
      </c>
      <c r="G52" s="2">
        <f>IF(COUNTIFS(videos!$A:$A,A52,videos!$C:$C,"&lt;&gt;")&gt;=1,"Yes","No")</f>
        <v/>
      </c>
      <c r="H52" s="2">
        <f>IF(G52="Yes","Done","Not started")</f>
        <v/>
      </c>
    </row>
    <row r="53">
      <c r="A53" s="2" t="inlineStr">
        <is>
          <t>ducati_scrambler_800_icon_standard</t>
        </is>
      </c>
      <c r="B53" s="2" t="inlineStr">
        <is>
          <t>Ducati</t>
        </is>
      </c>
      <c r="C53" s="2" t="inlineStr">
        <is>
          <t>Scrambler 800 Icon</t>
        </is>
      </c>
      <c r="D53" s="2" t="inlineStr">
        <is>
          <t>Standard</t>
        </is>
      </c>
      <c r="E53" s="2" t="inlineStr">
        <is>
          <t>Naked/Street</t>
        </is>
      </c>
      <c r="F53" s="2" t="inlineStr">
        <is>
          <t>Premium/Performance ICE</t>
        </is>
      </c>
      <c r="G53" s="2">
        <f>IF(COUNTIFS(videos!$A:$A,A53,videos!$C:$C,"&lt;&gt;")&gt;=1,"Yes","No")</f>
        <v/>
      </c>
      <c r="H53" s="2">
        <f>IF(G53="Yes","Done","Not started")</f>
        <v/>
      </c>
    </row>
    <row r="54">
      <c r="A54" s="2" t="inlineStr">
        <is>
          <t>ducati_scrambler_800_full_throttle_standard</t>
        </is>
      </c>
      <c r="B54" s="2" t="inlineStr">
        <is>
          <t>Ducati</t>
        </is>
      </c>
      <c r="C54" s="2" t="inlineStr">
        <is>
          <t>Scrambler 800 Full Throttle</t>
        </is>
      </c>
      <c r="D54" s="2" t="inlineStr">
        <is>
          <t>Standard</t>
        </is>
      </c>
      <c r="E54" s="2" t="inlineStr">
        <is>
          <t>Naked/Street</t>
        </is>
      </c>
      <c r="F54" s="2" t="inlineStr">
        <is>
          <t>Premium/Performance ICE</t>
        </is>
      </c>
      <c r="G54" s="2">
        <f>IF(COUNTIFS(videos!$A:$A,A54,videos!$C:$C,"&lt;&gt;")&gt;=1,"Yes","No")</f>
        <v/>
      </c>
      <c r="H54" s="2">
        <f>IF(G54="Yes","Done","Not started")</f>
        <v/>
      </c>
    </row>
    <row r="55">
      <c r="A55" s="2" t="inlineStr">
        <is>
          <t>ducati_scrambler_800_nightshift_standard</t>
        </is>
      </c>
      <c r="B55" s="2" t="inlineStr">
        <is>
          <t>Ducati</t>
        </is>
      </c>
      <c r="C55" s="2" t="inlineStr">
        <is>
          <t>Scrambler 800 Nightshift</t>
        </is>
      </c>
      <c r="D55" s="2" t="inlineStr">
        <is>
          <t>Standard</t>
        </is>
      </c>
      <c r="E55" s="2" t="inlineStr">
        <is>
          <t>Naked/Street</t>
        </is>
      </c>
      <c r="F55" s="2" t="inlineStr">
        <is>
          <t>Premium/Performance ICE</t>
        </is>
      </c>
      <c r="G55" s="2">
        <f>IF(COUNTIFS(videos!$A:$A,A55,videos!$C:$C,"&lt;&gt;")&gt;=1,"Yes","No")</f>
        <v/>
      </c>
      <c r="H55" s="2">
        <f>IF(G55="Yes","Done","Not started")</f>
        <v/>
      </c>
    </row>
    <row r="56">
      <c r="A56" s="2" t="inlineStr">
        <is>
          <t>ducati_desertx_standard</t>
        </is>
      </c>
      <c r="B56" s="2" t="inlineStr">
        <is>
          <t>Ducati</t>
        </is>
      </c>
      <c r="C56" s="2" t="inlineStr">
        <is>
          <t>DesertX</t>
        </is>
      </c>
      <c r="D56" s="2" t="inlineStr">
        <is>
          <t>Standard</t>
        </is>
      </c>
      <c r="E56" s="2" t="inlineStr">
        <is>
          <t>Adventure</t>
        </is>
      </c>
      <c r="F56" s="2" t="inlineStr">
        <is>
          <t>Premium/Performance ICE</t>
        </is>
      </c>
      <c r="G56" s="2">
        <f>IF(COUNTIFS(videos!$A:$A,A56,videos!$C:$C,"&lt;&gt;")&gt;=1,"Yes","No")</f>
        <v/>
      </c>
      <c r="H56" s="2">
        <f>IF(G56="Yes","Done","Not started")</f>
        <v/>
      </c>
    </row>
    <row r="57">
      <c r="A57" s="2" t="inlineStr">
        <is>
          <t>ducati_multistrada_v2_standard</t>
        </is>
      </c>
      <c r="B57" s="2" t="inlineStr">
        <is>
          <t>Ducati</t>
        </is>
      </c>
      <c r="C57" s="2" t="inlineStr">
        <is>
          <t>Multistrada V2</t>
        </is>
      </c>
      <c r="D57" s="2" t="inlineStr">
        <is>
          <t>Standard</t>
        </is>
      </c>
      <c r="E57" s="2" t="inlineStr">
        <is>
          <t>Tourer</t>
        </is>
      </c>
      <c r="F57" s="2" t="inlineStr">
        <is>
          <t>Premium/Performance ICE</t>
        </is>
      </c>
      <c r="G57" s="2">
        <f>IF(COUNTIFS(videos!$A:$A,A57,videos!$C:$C,"&lt;&gt;")&gt;=1,"Yes","No")</f>
        <v/>
      </c>
      <c r="H57" s="2">
        <f>IF(G57="Yes","Done","Not started")</f>
        <v/>
      </c>
    </row>
    <row r="58">
      <c r="A58" s="2" t="inlineStr">
        <is>
          <t>ducati_multistrada_v4_standard</t>
        </is>
      </c>
      <c r="B58" s="2" t="inlineStr">
        <is>
          <t>Ducati</t>
        </is>
      </c>
      <c r="C58" s="2" t="inlineStr">
        <is>
          <t>Multistrada V4</t>
        </is>
      </c>
      <c r="D58" s="2" t="inlineStr">
        <is>
          <t>Standard</t>
        </is>
      </c>
      <c r="E58" s="2" t="inlineStr">
        <is>
          <t>Tourer</t>
        </is>
      </c>
      <c r="F58" s="2" t="inlineStr">
        <is>
          <t>Premium/Performance ICE</t>
        </is>
      </c>
      <c r="G58" s="2">
        <f>IF(COUNTIFS(videos!$A:$A,A58,videos!$C:$C,"&lt;&gt;")&gt;=1,"Yes","No")</f>
        <v/>
      </c>
      <c r="H58" s="2">
        <f>IF(G58="Yes","Done","Not started")</f>
        <v/>
      </c>
    </row>
    <row r="59">
      <c r="A59" s="2" t="inlineStr">
        <is>
          <t>ducati_streetfighter_v2_standard</t>
        </is>
      </c>
      <c r="B59" s="2" t="inlineStr">
        <is>
          <t>Ducati</t>
        </is>
      </c>
      <c r="C59" s="2" t="inlineStr">
        <is>
          <t>Streetfighter V2</t>
        </is>
      </c>
      <c r="D59" s="2" t="inlineStr">
        <is>
          <t>Standard</t>
        </is>
      </c>
      <c r="E59" s="2" t="inlineStr">
        <is>
          <t>Naked/Street</t>
        </is>
      </c>
      <c r="F59" s="2" t="inlineStr">
        <is>
          <t>Premium/Performance ICE</t>
        </is>
      </c>
      <c r="G59" s="2">
        <f>IF(COUNTIFS(videos!$A:$A,A59,videos!$C:$C,"&lt;&gt;")&gt;=1,"Yes","No")</f>
        <v/>
      </c>
      <c r="H59" s="2">
        <f>IF(G59="Yes","Done","Not started")</f>
        <v/>
      </c>
    </row>
    <row r="60">
      <c r="A60" s="2" t="inlineStr">
        <is>
          <t>ducati_streetfighter_v4_standard</t>
        </is>
      </c>
      <c r="B60" s="2" t="inlineStr">
        <is>
          <t>Ducati</t>
        </is>
      </c>
      <c r="C60" s="2" t="inlineStr">
        <is>
          <t>Streetfighter V4</t>
        </is>
      </c>
      <c r="D60" s="2" t="inlineStr">
        <is>
          <t>Standard</t>
        </is>
      </c>
      <c r="E60" s="2" t="inlineStr">
        <is>
          <t>Naked/Street</t>
        </is>
      </c>
      <c r="F60" s="2" t="inlineStr">
        <is>
          <t>Premium/Performance ICE</t>
        </is>
      </c>
      <c r="G60" s="2">
        <f>IF(COUNTIFS(videos!$A:$A,A60,videos!$C:$C,"&lt;&gt;")&gt;=1,"Yes","No")</f>
        <v/>
      </c>
      <c r="H60" s="2">
        <f>IF(G60="Yes","Done","Not started")</f>
        <v/>
      </c>
    </row>
    <row r="61">
      <c r="A61" s="2" t="inlineStr">
        <is>
          <t>ducati_panigale_v2_standard</t>
        </is>
      </c>
      <c r="B61" s="2" t="inlineStr">
        <is>
          <t>Ducati</t>
        </is>
      </c>
      <c r="C61" s="2" t="inlineStr">
        <is>
          <t>Panigale V2</t>
        </is>
      </c>
      <c r="D61" s="2" t="inlineStr">
        <is>
          <t>Standard</t>
        </is>
      </c>
      <c r="E61" s="2" t="inlineStr">
        <is>
          <t>Sport</t>
        </is>
      </c>
      <c r="F61" s="2" t="inlineStr">
        <is>
          <t>Premium/Performance ICE</t>
        </is>
      </c>
      <c r="G61" s="2">
        <f>IF(COUNTIFS(videos!$A:$A,A61,videos!$C:$C,"&lt;&gt;")&gt;=1,"Yes","No")</f>
        <v/>
      </c>
      <c r="H61" s="2">
        <f>IF(G61="Yes","Done","Not started")</f>
        <v/>
      </c>
    </row>
    <row r="62">
      <c r="A62" s="2" t="inlineStr">
        <is>
          <t>ducati_panigale_v4_standard</t>
        </is>
      </c>
      <c r="B62" s="2" t="inlineStr">
        <is>
          <t>Ducati</t>
        </is>
      </c>
      <c r="C62" s="2" t="inlineStr">
        <is>
          <t>Panigale V4</t>
        </is>
      </c>
      <c r="D62" s="2" t="inlineStr">
        <is>
          <t>Standard</t>
        </is>
      </c>
      <c r="E62" s="2" t="inlineStr">
        <is>
          <t>Superbike</t>
        </is>
      </c>
      <c r="F62" s="2" t="inlineStr">
        <is>
          <t>Premium/Performance ICE</t>
        </is>
      </c>
      <c r="G62" s="2">
        <f>IF(COUNTIFS(videos!$A:$A,A62,videos!$C:$C,"&lt;&gt;")&gt;=1,"Yes","No")</f>
        <v/>
      </c>
      <c r="H62" s="2">
        <f>IF(G62="Yes","Done","Not started")</f>
        <v/>
      </c>
    </row>
    <row r="63">
      <c r="A63" s="2" t="inlineStr">
        <is>
          <t>ducati_diavel_v4_standard</t>
        </is>
      </c>
      <c r="B63" s="2" t="inlineStr">
        <is>
          <t>Ducati</t>
        </is>
      </c>
      <c r="C63" s="2" t="inlineStr">
        <is>
          <t>Diavel V4</t>
        </is>
      </c>
      <c r="D63" s="2" t="inlineStr">
        <is>
          <t>Standard</t>
        </is>
      </c>
      <c r="E63" s="2" t="inlineStr">
        <is>
          <t>Cruiser</t>
        </is>
      </c>
      <c r="F63" s="2" t="inlineStr">
        <is>
          <t>Premium/Performance ICE</t>
        </is>
      </c>
      <c r="G63" s="2">
        <f>IF(COUNTIFS(videos!$A:$A,A63,videos!$C:$C,"&lt;&gt;")&gt;=1,"Yes","No")</f>
        <v/>
      </c>
      <c r="H63" s="2">
        <f>IF(G63="Yes","Done","Not started")</f>
        <v/>
      </c>
    </row>
    <row r="64">
      <c r="A64" s="2" t="inlineStr">
        <is>
          <t>harley_davidson_x440_denim</t>
        </is>
      </c>
      <c r="B64" s="2" t="inlineStr">
        <is>
          <t>Harley-Davidson</t>
        </is>
      </c>
      <c r="C64" s="2" t="inlineStr">
        <is>
          <t>X440</t>
        </is>
      </c>
      <c r="D64" s="2" t="inlineStr">
        <is>
          <t>Denim</t>
        </is>
      </c>
      <c r="E64" s="2" t="inlineStr">
        <is>
          <t>Naked/Street</t>
        </is>
      </c>
      <c r="F64" s="2" t="inlineStr">
        <is>
          <t>Mass-market ICE</t>
        </is>
      </c>
      <c r="G64" s="2">
        <f>IF(COUNTIFS(videos!$A:$A,A64,videos!$C:$C,"&lt;&gt;")&gt;=1,"Yes","No")</f>
        <v/>
      </c>
      <c r="H64" s="2">
        <f>IF(G64="Yes","Done","Not started")</f>
        <v/>
      </c>
    </row>
    <row r="65">
      <c r="A65" s="2" t="inlineStr">
        <is>
          <t>harley_davidson_nightster_standard</t>
        </is>
      </c>
      <c r="B65" s="2" t="inlineStr">
        <is>
          <t>Harley-Davidson</t>
        </is>
      </c>
      <c r="C65" s="2" t="inlineStr">
        <is>
          <t>Nightster</t>
        </is>
      </c>
      <c r="D65" s="2" t="inlineStr">
        <is>
          <t>Standard</t>
        </is>
      </c>
      <c r="E65" s="2" t="inlineStr">
        <is>
          <t>Cruiser</t>
        </is>
      </c>
      <c r="F65" s="2" t="inlineStr">
        <is>
          <t>Premium/Performance ICE</t>
        </is>
      </c>
      <c r="G65" s="2">
        <f>IF(COUNTIFS(videos!$A:$A,A65,videos!$C:$C,"&lt;&gt;")&gt;=1,"Yes","No")</f>
        <v/>
      </c>
      <c r="H65" s="2">
        <f>IF(G65="Yes","Done","Not started")</f>
        <v/>
      </c>
    </row>
    <row r="66">
      <c r="A66" s="2" t="inlineStr">
        <is>
          <t>harley_davidson_sportster_s_standard</t>
        </is>
      </c>
      <c r="B66" s="2" t="inlineStr">
        <is>
          <t>Harley-Davidson</t>
        </is>
      </c>
      <c r="C66" s="2" t="inlineStr">
        <is>
          <t>Sportster S</t>
        </is>
      </c>
      <c r="D66" s="2" t="inlineStr">
        <is>
          <t>Standard</t>
        </is>
      </c>
      <c r="E66" s="2" t="inlineStr">
        <is>
          <t>Cruiser</t>
        </is>
      </c>
      <c r="F66" s="2" t="inlineStr">
        <is>
          <t>Premium/Performance ICE</t>
        </is>
      </c>
      <c r="G66" s="2">
        <f>IF(COUNTIFS(videos!$A:$A,A66,videos!$C:$C,"&lt;&gt;")&gt;=1,"Yes","No")</f>
        <v/>
      </c>
      <c r="H66" s="2">
        <f>IF(G66="Yes","Done","Not started")</f>
        <v/>
      </c>
    </row>
    <row r="67">
      <c r="A67" s="2" t="inlineStr">
        <is>
          <t>harley_davidson_pan_america_1250_special</t>
        </is>
      </c>
      <c r="B67" s="2" t="inlineStr">
        <is>
          <t>Harley-Davidson</t>
        </is>
      </c>
      <c r="C67" s="2" t="inlineStr">
        <is>
          <t>Pan America 1250</t>
        </is>
      </c>
      <c r="D67" s="2" t="inlineStr">
        <is>
          <t>Special</t>
        </is>
      </c>
      <c r="E67" s="2" t="inlineStr">
        <is>
          <t>Adventure</t>
        </is>
      </c>
      <c r="F67" s="2" t="inlineStr">
        <is>
          <t>Premium/Performance ICE</t>
        </is>
      </c>
      <c r="G67" s="2">
        <f>IF(COUNTIFS(videos!$A:$A,A67,videos!$C:$C,"&lt;&gt;")&gt;=1,"Yes","No")</f>
        <v/>
      </c>
      <c r="H67" s="2">
        <f>IF(G67="Yes","Done","Not started")</f>
        <v/>
      </c>
    </row>
    <row r="68">
      <c r="A68" s="2" t="inlineStr">
        <is>
          <t>harley_davidson_fat_bob_114_standard</t>
        </is>
      </c>
      <c r="B68" s="2" t="inlineStr">
        <is>
          <t>Harley-Davidson</t>
        </is>
      </c>
      <c r="C68" s="2" t="inlineStr">
        <is>
          <t>Fat Bob 114</t>
        </is>
      </c>
      <c r="D68" s="2" t="inlineStr">
        <is>
          <t>Standard</t>
        </is>
      </c>
      <c r="E68" s="2" t="inlineStr">
        <is>
          <t>Cruiser</t>
        </is>
      </c>
      <c r="F68" s="2" t="inlineStr">
        <is>
          <t>Premium/Performance ICE</t>
        </is>
      </c>
      <c r="G68" s="2">
        <f>IF(COUNTIFS(videos!$A:$A,A68,videos!$C:$C,"&lt;&gt;")&gt;=1,"Yes","No")</f>
        <v/>
      </c>
      <c r="H68" s="2">
        <f>IF(G68="Yes","Done","Not started")</f>
        <v/>
      </c>
    </row>
    <row r="69">
      <c r="A69" s="2" t="inlineStr">
        <is>
          <t>harley_davidson_heritage_classic_standard</t>
        </is>
      </c>
      <c r="B69" s="2" t="inlineStr">
        <is>
          <t>Harley-Davidson</t>
        </is>
      </c>
      <c r="C69" s="2" t="inlineStr">
        <is>
          <t>Heritage Classic</t>
        </is>
      </c>
      <c r="D69" s="2" t="inlineStr">
        <is>
          <t>Standard</t>
        </is>
      </c>
      <c r="E69" s="2" t="inlineStr">
        <is>
          <t>Cruiser</t>
        </is>
      </c>
      <c r="F69" s="2" t="inlineStr">
        <is>
          <t>Premium/Performance ICE</t>
        </is>
      </c>
      <c r="G69" s="2">
        <f>IF(COUNTIFS(videos!$A:$A,A69,videos!$C:$C,"&lt;&gt;")&gt;=1,"Yes","No")</f>
        <v/>
      </c>
      <c r="H69" s="2">
        <f>IF(G69="Yes","Done","Not started")</f>
        <v/>
      </c>
    </row>
    <row r="70">
      <c r="A70" s="2" t="inlineStr">
        <is>
          <t>harley_davidson_road_glide_standard</t>
        </is>
      </c>
      <c r="B70" s="2" t="inlineStr">
        <is>
          <t>Harley-Davidson</t>
        </is>
      </c>
      <c r="C70" s="2" t="inlineStr">
        <is>
          <t>Road Glide</t>
        </is>
      </c>
      <c r="D70" s="2" t="inlineStr">
        <is>
          <t>Standard</t>
        </is>
      </c>
      <c r="E70" s="2" t="inlineStr">
        <is>
          <t>Tourer</t>
        </is>
      </c>
      <c r="F70" s="2" t="inlineStr">
        <is>
          <t>Premium/Performance ICE</t>
        </is>
      </c>
      <c r="G70" s="2">
        <f>IF(COUNTIFS(videos!$A:$A,A70,videos!$C:$C,"&lt;&gt;")&gt;=1,"Yes","No")</f>
        <v/>
      </c>
      <c r="H70" s="2">
        <f>IF(G70="Yes","Done","Not started")</f>
        <v/>
      </c>
    </row>
    <row r="71">
      <c r="A71" s="2" t="inlineStr">
        <is>
          <t>harley_davidson_street_glide_standard</t>
        </is>
      </c>
      <c r="B71" s="2" t="inlineStr">
        <is>
          <t>Harley-Davidson</t>
        </is>
      </c>
      <c r="C71" s="2" t="inlineStr">
        <is>
          <t>Street Glide</t>
        </is>
      </c>
      <c r="D71" s="2" t="inlineStr">
        <is>
          <t>Standard</t>
        </is>
      </c>
      <c r="E71" s="2" t="inlineStr">
        <is>
          <t>Tourer</t>
        </is>
      </c>
      <c r="F71" s="2" t="inlineStr">
        <is>
          <t>Premium/Performance ICE</t>
        </is>
      </c>
      <c r="G71" s="2">
        <f>IF(COUNTIFS(videos!$A:$A,A71,videos!$C:$C,"&lt;&gt;")&gt;=1,"Yes","No")</f>
        <v/>
      </c>
      <c r="H71" s="2">
        <f>IF(G71="Yes","Done","Not started")</f>
        <v/>
      </c>
    </row>
    <row r="72">
      <c r="A72" s="2" t="inlineStr">
        <is>
          <t>hero_motocorp_hf_deluxe_kick_cast_obd2b</t>
        </is>
      </c>
      <c r="B72" s="2" t="inlineStr">
        <is>
          <t>Hero MotoCorp</t>
        </is>
      </c>
      <c r="C72" s="2" t="inlineStr">
        <is>
          <t>HF Deluxe</t>
        </is>
      </c>
      <c r="D72" s="2" t="inlineStr">
        <is>
          <t>Kick Cast OBD2B</t>
        </is>
      </c>
      <c r="E72" s="2" t="inlineStr">
        <is>
          <t>Commuter</t>
        </is>
      </c>
      <c r="F72" s="2" t="inlineStr">
        <is>
          <t>Mass-market ICE</t>
        </is>
      </c>
      <c r="G72" s="2">
        <f>IF(COUNTIFS(videos!$A:$A,A72,videos!$C:$C,"&lt;&gt;")&gt;=1,"Yes","No")</f>
        <v/>
      </c>
      <c r="H72" s="2">
        <f>IF(G72="Yes","Done","Not started")</f>
        <v/>
      </c>
    </row>
    <row r="73">
      <c r="A73" s="2" t="inlineStr">
        <is>
          <t>hero_motocorp_hf_100_std</t>
        </is>
      </c>
      <c r="B73" s="2" t="inlineStr">
        <is>
          <t>Hero MotoCorp</t>
        </is>
      </c>
      <c r="C73" s="2" t="inlineStr">
        <is>
          <t>HF 100</t>
        </is>
      </c>
      <c r="D73" s="2" t="inlineStr">
        <is>
          <t>STD</t>
        </is>
      </c>
      <c r="E73" s="2" t="inlineStr">
        <is>
          <t>Commuter</t>
        </is>
      </c>
      <c r="F73" s="2" t="inlineStr">
        <is>
          <t>Mass-market ICE</t>
        </is>
      </c>
      <c r="G73" s="2">
        <f>IF(COUNTIFS(videos!$A:$A,A73,videos!$C:$C,"&lt;&gt;")&gt;=1,"Yes","No")</f>
        <v/>
      </c>
      <c r="H73" s="2">
        <f>IF(G73="Yes","Done","Not started")</f>
        <v/>
      </c>
    </row>
    <row r="74">
      <c r="A74" s="2" t="inlineStr">
        <is>
          <t>hero_motocorp_splendor_plus_self_with_alloy_wheel</t>
        </is>
      </c>
      <c r="B74" s="2" t="inlineStr">
        <is>
          <t>Hero MotoCorp</t>
        </is>
      </c>
      <c r="C74" s="2" t="inlineStr">
        <is>
          <t>Splendor Plus</t>
        </is>
      </c>
      <c r="D74" s="2" t="inlineStr">
        <is>
          <t>Self with Alloy Wheel</t>
        </is>
      </c>
      <c r="E74" s="2" t="inlineStr">
        <is>
          <t>Commuter</t>
        </is>
      </c>
      <c r="F74" s="2" t="inlineStr">
        <is>
          <t>Mass-market ICE</t>
        </is>
      </c>
      <c r="G74" s="2">
        <f>IF(COUNTIFS(videos!$A:$A,A74,videos!$C:$C,"&lt;&gt;")&gt;=1,"Yes","No")</f>
        <v/>
      </c>
      <c r="H74" s="2">
        <f>IF(G74="Yes","Done","Not started")</f>
        <v/>
      </c>
    </row>
    <row r="75">
      <c r="A75" s="2" t="inlineStr">
        <is>
          <t>hero_motocorp_splendor_plus_xtec_drum</t>
        </is>
      </c>
      <c r="B75" s="2" t="inlineStr">
        <is>
          <t>Hero MotoCorp</t>
        </is>
      </c>
      <c r="C75" s="2" t="inlineStr">
        <is>
          <t>Splendor Plus Xtec</t>
        </is>
      </c>
      <c r="D75" s="2" t="inlineStr">
        <is>
          <t>Drum</t>
        </is>
      </c>
      <c r="E75" s="2" t="inlineStr">
        <is>
          <t>Commuter</t>
        </is>
      </c>
      <c r="F75" s="2" t="inlineStr">
        <is>
          <t>Mass-market ICE</t>
        </is>
      </c>
      <c r="G75" s="2">
        <f>IF(COUNTIFS(videos!$A:$A,A75,videos!$C:$C,"&lt;&gt;")&gt;=1,"Yes","No")</f>
        <v/>
      </c>
      <c r="H75" s="2">
        <f>IF(G75="Yes","Done","Not started")</f>
        <v/>
      </c>
    </row>
    <row r="76">
      <c r="A76" s="2" t="inlineStr">
        <is>
          <t>hero_motocorp_passion_plus_std</t>
        </is>
      </c>
      <c r="B76" s="2" t="inlineStr">
        <is>
          <t>Hero MotoCorp</t>
        </is>
      </c>
      <c r="C76" s="2" t="inlineStr">
        <is>
          <t>Passion Plus</t>
        </is>
      </c>
      <c r="D76" s="2" t="inlineStr">
        <is>
          <t>STD</t>
        </is>
      </c>
      <c r="E76" s="2" t="inlineStr">
        <is>
          <t>Commuter</t>
        </is>
      </c>
      <c r="F76" s="2" t="inlineStr">
        <is>
          <t>Mass-market ICE</t>
        </is>
      </c>
      <c r="G76" s="2">
        <f>IF(COUNTIFS(videos!$A:$A,A76,videos!$C:$C,"&lt;&gt;")&gt;=1,"Yes","No")</f>
        <v/>
      </c>
      <c r="H76" s="2">
        <f>IF(G76="Yes","Done","Not started")</f>
        <v/>
      </c>
    </row>
    <row r="77">
      <c r="A77" s="2" t="inlineStr">
        <is>
          <t>hero_motocorp_glamour_drum</t>
        </is>
      </c>
      <c r="B77" s="2" t="inlineStr">
        <is>
          <t>Hero MotoCorp</t>
        </is>
      </c>
      <c r="C77" s="2" t="inlineStr">
        <is>
          <t>Glamour</t>
        </is>
      </c>
      <c r="D77" s="2" t="inlineStr">
        <is>
          <t>Drum</t>
        </is>
      </c>
      <c r="E77" s="2" t="inlineStr">
        <is>
          <t>Commuter</t>
        </is>
      </c>
      <c r="F77" s="2" t="inlineStr">
        <is>
          <t>Mass-market ICE</t>
        </is>
      </c>
      <c r="G77" s="2">
        <f>IF(COUNTIFS(videos!$A:$A,A77,videos!$C:$C,"&lt;&gt;")&gt;=1,"Yes","No")</f>
        <v/>
      </c>
      <c r="H77" s="2">
        <f>IF(G77="Yes","Done","Not started")</f>
        <v/>
      </c>
    </row>
    <row r="78">
      <c r="A78" s="2" t="inlineStr">
        <is>
          <t>hero_motocorp_glamour_xtec_drum</t>
        </is>
      </c>
      <c r="B78" s="2" t="inlineStr">
        <is>
          <t>Hero MotoCorp</t>
        </is>
      </c>
      <c r="C78" s="2" t="inlineStr">
        <is>
          <t>Glamour XTEC</t>
        </is>
      </c>
      <c r="D78" s="2" t="inlineStr">
        <is>
          <t>Drum</t>
        </is>
      </c>
      <c r="E78" s="2" t="inlineStr">
        <is>
          <t>Commuter</t>
        </is>
      </c>
      <c r="F78" s="2" t="inlineStr">
        <is>
          <t>Mass-market ICE</t>
        </is>
      </c>
      <c r="G78" s="2">
        <f>IF(COUNTIFS(videos!$A:$A,A78,videos!$C:$C,"&lt;&gt;")&gt;=1,"Yes","No")</f>
        <v/>
      </c>
      <c r="H78" s="2">
        <f>IF(G78="Yes","Done","Not started")</f>
        <v/>
      </c>
    </row>
    <row r="79">
      <c r="A79" s="2" t="inlineStr">
        <is>
          <t>hero_motocorp_super_splendor_xtec_drum</t>
        </is>
      </c>
      <c r="B79" s="2" t="inlineStr">
        <is>
          <t>Hero MotoCorp</t>
        </is>
      </c>
      <c r="C79" s="2" t="inlineStr">
        <is>
          <t>Super Splendor Xtec</t>
        </is>
      </c>
      <c r="D79" s="2" t="inlineStr">
        <is>
          <t>Drum</t>
        </is>
      </c>
      <c r="E79" s="2" t="inlineStr">
        <is>
          <t>Commuter</t>
        </is>
      </c>
      <c r="F79" s="2" t="inlineStr">
        <is>
          <t>Mass-market ICE</t>
        </is>
      </c>
      <c r="G79" s="2">
        <f>IF(COUNTIFS(videos!$A:$A,A79,videos!$C:$C,"&lt;&gt;")&gt;=1,"Yes","No")</f>
        <v/>
      </c>
      <c r="H79" s="2">
        <f>IF(G79="Yes","Done","Not started")</f>
        <v/>
      </c>
    </row>
    <row r="80">
      <c r="A80" s="2" t="inlineStr">
        <is>
          <t>hero_motocorp_xtreme_125r_ibs</t>
        </is>
      </c>
      <c r="B80" s="2" t="inlineStr">
        <is>
          <t>Hero MotoCorp</t>
        </is>
      </c>
      <c r="C80" s="2" t="inlineStr">
        <is>
          <t>Xtreme 125R</t>
        </is>
      </c>
      <c r="D80" s="2" t="inlineStr">
        <is>
          <t>IBS</t>
        </is>
      </c>
      <c r="E80" s="2" t="inlineStr">
        <is>
          <t>Naked/Street</t>
        </is>
      </c>
      <c r="F80" s="2" t="inlineStr">
        <is>
          <t>Mass-market ICE</t>
        </is>
      </c>
      <c r="G80" s="2">
        <f>IF(COUNTIFS(videos!$A:$A,A80,videos!$C:$C,"&lt;&gt;")&gt;=1,"Yes","No")</f>
        <v/>
      </c>
      <c r="H80" s="2">
        <f>IF(G80="Yes","Done","Not started")</f>
        <v/>
      </c>
    </row>
    <row r="81">
      <c r="A81" s="2" t="inlineStr">
        <is>
          <t>hero_motocorp_xtreme_160r_single_disc</t>
        </is>
      </c>
      <c r="B81" s="2" t="inlineStr">
        <is>
          <t>Hero MotoCorp</t>
        </is>
      </c>
      <c r="C81" s="2" t="inlineStr">
        <is>
          <t>Xtreme 160R</t>
        </is>
      </c>
      <c r="D81" s="2" t="inlineStr">
        <is>
          <t>Single Disc</t>
        </is>
      </c>
      <c r="E81" s="2" t="inlineStr">
        <is>
          <t>Naked/Street</t>
        </is>
      </c>
      <c r="F81" s="2" t="inlineStr">
        <is>
          <t>Mass-market ICE</t>
        </is>
      </c>
      <c r="G81" s="2">
        <f>IF(COUNTIFS(videos!$A:$A,A81,videos!$C:$C,"&lt;&gt;")&gt;=1,"Yes","No")</f>
        <v/>
      </c>
      <c r="H81" s="2">
        <f>IF(G81="Yes","Done","Not started")</f>
        <v/>
      </c>
    </row>
    <row r="82">
      <c r="A82" s="2" t="inlineStr">
        <is>
          <t>hero_motocorp_xtreme_160r_4v_standard</t>
        </is>
      </c>
      <c r="B82" s="2" t="inlineStr">
        <is>
          <t>Hero MotoCorp</t>
        </is>
      </c>
      <c r="C82" s="2" t="inlineStr">
        <is>
          <t>Xtreme 160R 4V</t>
        </is>
      </c>
      <c r="D82" s="2" t="inlineStr">
        <is>
          <t>Standard</t>
        </is>
      </c>
      <c r="E82" s="2" t="inlineStr">
        <is>
          <t>Naked/Street</t>
        </is>
      </c>
      <c r="F82" s="2" t="inlineStr">
        <is>
          <t>Mass-market ICE</t>
        </is>
      </c>
      <c r="G82" s="2">
        <f>IF(COUNTIFS(videos!$A:$A,A82,videos!$C:$C,"&lt;&gt;")&gt;=1,"Yes","No")</f>
        <v/>
      </c>
      <c r="H82" s="2">
        <f>IF(G82="Yes","Done","Not started")</f>
        <v/>
      </c>
    </row>
    <row r="83">
      <c r="A83" s="2" t="inlineStr">
        <is>
          <t>hero_motocorp_xtreme_250r_std</t>
        </is>
      </c>
      <c r="B83" s="2" t="inlineStr">
        <is>
          <t>Hero MotoCorp</t>
        </is>
      </c>
      <c r="C83" s="2" t="inlineStr">
        <is>
          <t>Xtreme 250R</t>
        </is>
      </c>
      <c r="D83" s="2" t="inlineStr">
        <is>
          <t>STD</t>
        </is>
      </c>
      <c r="E83" s="2" t="inlineStr">
        <is>
          <t>Naked/Street</t>
        </is>
      </c>
      <c r="F83" s="2" t="inlineStr">
        <is>
          <t>Premium/Performance ICE</t>
        </is>
      </c>
      <c r="G83" s="2">
        <f>IF(COUNTIFS(videos!$A:$A,A83,videos!$C:$C,"&lt;&gt;")&gt;=1,"Yes","No")</f>
        <v/>
      </c>
      <c r="H83" s="2">
        <f>IF(G83="Yes","Done","Not started")</f>
        <v/>
      </c>
    </row>
    <row r="84">
      <c r="A84" s="2" t="inlineStr">
        <is>
          <t>hero_motocorp_karizma_xmr_210_std</t>
        </is>
      </c>
      <c r="B84" s="2" t="inlineStr">
        <is>
          <t>Hero MotoCorp</t>
        </is>
      </c>
      <c r="C84" s="2" t="inlineStr">
        <is>
          <t>Karizma XMR 210</t>
        </is>
      </c>
      <c r="D84" s="2" t="inlineStr">
        <is>
          <t>STD</t>
        </is>
      </c>
      <c r="E84" s="2" t="inlineStr">
        <is>
          <t>Sport</t>
        </is>
      </c>
      <c r="F84" s="2" t="inlineStr">
        <is>
          <t>Premium/Performance ICE</t>
        </is>
      </c>
      <c r="G84" s="2">
        <f>IF(COUNTIFS(videos!$A:$A,A84,videos!$C:$C,"&lt;&gt;")&gt;=1,"Yes","No")</f>
        <v/>
      </c>
      <c r="H84" s="2">
        <f>IF(G84="Yes","Done","Not started")</f>
        <v/>
      </c>
    </row>
    <row r="85">
      <c r="A85" s="2" t="inlineStr">
        <is>
          <t>hero_motocorp_xpulse_200_4v_standard</t>
        </is>
      </c>
      <c r="B85" s="2" t="inlineStr">
        <is>
          <t>Hero MotoCorp</t>
        </is>
      </c>
      <c r="C85" s="2" t="inlineStr">
        <is>
          <t>XPulse 200 4V</t>
        </is>
      </c>
      <c r="D85" s="2" t="inlineStr">
        <is>
          <t>Standard</t>
        </is>
      </c>
      <c r="E85" s="2" t="inlineStr">
        <is>
          <t>Adventure</t>
        </is>
      </c>
      <c r="F85" s="2" t="inlineStr">
        <is>
          <t>Premium/Performance ICE</t>
        </is>
      </c>
      <c r="G85" s="2">
        <f>IF(COUNTIFS(videos!$A:$A,A85,videos!$C:$C,"&lt;&gt;")&gt;=1,"Yes","No")</f>
        <v/>
      </c>
      <c r="H85" s="2">
        <f>IF(G85="Yes","Done","Not started")</f>
        <v/>
      </c>
    </row>
    <row r="86">
      <c r="A86" s="2" t="inlineStr">
        <is>
          <t>hero_motocorp_xpulse_210_std</t>
        </is>
      </c>
      <c r="B86" s="2" t="inlineStr">
        <is>
          <t>Hero MotoCorp</t>
        </is>
      </c>
      <c r="C86" s="2" t="inlineStr">
        <is>
          <t>XPulse 210</t>
        </is>
      </c>
      <c r="D86" s="2" t="inlineStr">
        <is>
          <t>STD</t>
        </is>
      </c>
      <c r="E86" s="2" t="inlineStr">
        <is>
          <t>Adventure</t>
        </is>
      </c>
      <c r="F86" s="2" t="inlineStr">
        <is>
          <t>Premium/Performance ICE</t>
        </is>
      </c>
      <c r="G86" s="2">
        <f>IF(COUNTIFS(videos!$A:$A,A86,videos!$C:$C,"&lt;&gt;")&gt;=1,"Yes","No")</f>
        <v/>
      </c>
      <c r="H86" s="2">
        <f>IF(G86="Yes","Done","Not started")</f>
        <v/>
      </c>
    </row>
    <row r="87">
      <c r="A87" s="2" t="inlineStr">
        <is>
          <t>hero_motocorp_pleasure_plus_lx</t>
        </is>
      </c>
      <c r="B87" s="2" t="inlineStr">
        <is>
          <t>Hero MotoCorp</t>
        </is>
      </c>
      <c r="C87" s="2" t="inlineStr">
        <is>
          <t>Pleasure Plus</t>
        </is>
      </c>
      <c r="D87" s="2" t="inlineStr">
        <is>
          <t>LX</t>
        </is>
      </c>
      <c r="E87" s="2" t="inlineStr">
        <is>
          <t>Scooter</t>
        </is>
      </c>
      <c r="F87" s="2" t="inlineStr">
        <is>
          <t>Mass-market ICE</t>
        </is>
      </c>
      <c r="G87" s="2">
        <f>IF(COUNTIFS(videos!$A:$A,A87,videos!$C:$C,"&lt;&gt;")&gt;=1,"Yes","No")</f>
        <v/>
      </c>
      <c r="H87" s="2">
        <f>IF(G87="Yes","Done","Not started")</f>
        <v/>
      </c>
    </row>
    <row r="88">
      <c r="A88" s="2" t="inlineStr">
        <is>
          <t>hero_motocorp_destini_110_std</t>
        </is>
      </c>
      <c r="B88" s="2" t="inlineStr">
        <is>
          <t>Hero MotoCorp</t>
        </is>
      </c>
      <c r="C88" s="2" t="inlineStr">
        <is>
          <t>Destini 110</t>
        </is>
      </c>
      <c r="D88" s="2" t="inlineStr">
        <is>
          <t>STD</t>
        </is>
      </c>
      <c r="E88" s="2" t="inlineStr">
        <is>
          <t>Scooter</t>
        </is>
      </c>
      <c r="F88" s="2" t="inlineStr">
        <is>
          <t>Mass-market ICE</t>
        </is>
      </c>
      <c r="G88" s="2">
        <f>IF(COUNTIFS(videos!$A:$A,A88,videos!$C:$C,"&lt;&gt;")&gt;=1,"Yes","No")</f>
        <v/>
      </c>
      <c r="H88" s="2">
        <f>IF(G88="Yes","Done","Not started")</f>
        <v/>
      </c>
    </row>
    <row r="89">
      <c r="A89" s="2" t="inlineStr">
        <is>
          <t>hero_motocorp_destini_125_vx</t>
        </is>
      </c>
      <c r="B89" s="2" t="inlineStr">
        <is>
          <t>Hero MotoCorp</t>
        </is>
      </c>
      <c r="C89" s="2" t="inlineStr">
        <is>
          <t>Destini 125</t>
        </is>
      </c>
      <c r="D89" s="2" t="inlineStr">
        <is>
          <t>VX</t>
        </is>
      </c>
      <c r="E89" s="2" t="inlineStr">
        <is>
          <t>Scooter</t>
        </is>
      </c>
      <c r="F89" s="2" t="inlineStr">
        <is>
          <t>Mass-market ICE</t>
        </is>
      </c>
      <c r="G89" s="2">
        <f>IF(COUNTIFS(videos!$A:$A,A89,videos!$C:$C,"&lt;&gt;")&gt;=1,"Yes","No")</f>
        <v/>
      </c>
      <c r="H89" s="2">
        <f>IF(G89="Yes","Done","Not started")</f>
        <v/>
      </c>
    </row>
    <row r="90">
      <c r="A90" s="2" t="inlineStr">
        <is>
          <t>hero_motocorp_xoom_110_lx</t>
        </is>
      </c>
      <c r="B90" s="2" t="inlineStr">
        <is>
          <t>Hero MotoCorp</t>
        </is>
      </c>
      <c r="C90" s="2" t="inlineStr">
        <is>
          <t>Xoom 110</t>
        </is>
      </c>
      <c r="D90" s="2" t="inlineStr">
        <is>
          <t>LX</t>
        </is>
      </c>
      <c r="E90" s="2" t="inlineStr">
        <is>
          <t>Scooter</t>
        </is>
      </c>
      <c r="F90" s="2" t="inlineStr">
        <is>
          <t>Mass-market ICE</t>
        </is>
      </c>
      <c r="G90" s="2">
        <f>IF(COUNTIFS(videos!$A:$A,A90,videos!$C:$C,"&lt;&gt;")&gt;=1,"Yes","No")</f>
        <v/>
      </c>
      <c r="H90" s="2">
        <f>IF(G90="Yes","Done","Not started")</f>
        <v/>
      </c>
    </row>
    <row r="91">
      <c r="A91" s="2" t="inlineStr">
        <is>
          <t>hero_motocorp_xoom_125_zx</t>
        </is>
      </c>
      <c r="B91" s="2" t="inlineStr">
        <is>
          <t>Hero MotoCorp</t>
        </is>
      </c>
      <c r="C91" s="2" t="inlineStr">
        <is>
          <t>Xoom 125</t>
        </is>
      </c>
      <c r="D91" s="2" t="inlineStr">
        <is>
          <t>ZX</t>
        </is>
      </c>
      <c r="E91" s="2" t="inlineStr">
        <is>
          <t>Scooter</t>
        </is>
      </c>
      <c r="F91" s="2" t="inlineStr">
        <is>
          <t>Mass-market ICE</t>
        </is>
      </c>
      <c r="G91" s="2">
        <f>IF(COUNTIFS(videos!$A:$A,A91,videos!$C:$C,"&lt;&gt;")&gt;=1,"Yes","No")</f>
        <v/>
      </c>
      <c r="H91" s="2">
        <f>IF(G91="Yes","Done","Not started")</f>
        <v/>
      </c>
    </row>
    <row r="92">
      <c r="A92" s="2" t="inlineStr">
        <is>
          <t>hero_motocorp_xoom_160_std</t>
        </is>
      </c>
      <c r="B92" s="2" t="inlineStr">
        <is>
          <t>Hero MotoCorp</t>
        </is>
      </c>
      <c r="C92" s="2" t="inlineStr">
        <is>
          <t>Xoom 160</t>
        </is>
      </c>
      <c r="D92" s="2" t="inlineStr">
        <is>
          <t>STD</t>
        </is>
      </c>
      <c r="E92" s="2" t="inlineStr">
        <is>
          <t>Scooter</t>
        </is>
      </c>
      <c r="F92" s="2" t="inlineStr">
        <is>
          <t>Mass-market ICE</t>
        </is>
      </c>
      <c r="G92" s="2">
        <f>IF(COUNTIFS(videos!$A:$A,A92,videos!$C:$C,"&lt;&gt;")&gt;=1,"Yes","No")</f>
        <v/>
      </c>
      <c r="H92" s="2">
        <f>IF(G92="Yes","Done","Not started")</f>
        <v/>
      </c>
    </row>
    <row r="93">
      <c r="A93" s="2" t="inlineStr">
        <is>
          <t>honda_shine_100_standard</t>
        </is>
      </c>
      <c r="B93" s="2" t="inlineStr">
        <is>
          <t>Honda</t>
        </is>
      </c>
      <c r="C93" s="2" t="inlineStr">
        <is>
          <t>Shine 100</t>
        </is>
      </c>
      <c r="D93" s="2" t="inlineStr">
        <is>
          <t>Standard</t>
        </is>
      </c>
      <c r="E93" s="2" t="inlineStr">
        <is>
          <t>Commuter</t>
        </is>
      </c>
      <c r="F93" s="2" t="inlineStr">
        <is>
          <t>Mass-market ICE</t>
        </is>
      </c>
      <c r="G93" s="2">
        <f>IF(COUNTIFS(videos!$A:$A,A93,videos!$C:$C,"&lt;&gt;")&gt;=1,"Yes","No")</f>
        <v/>
      </c>
      <c r="H93" s="2">
        <f>IF(G93="Yes","Done","Not started")</f>
        <v/>
      </c>
    </row>
    <row r="94">
      <c r="A94" s="2" t="inlineStr">
        <is>
          <t>honda_livo_drum_obd2</t>
        </is>
      </c>
      <c r="B94" s="2" t="inlineStr">
        <is>
          <t>Honda</t>
        </is>
      </c>
      <c r="C94" s="2" t="inlineStr">
        <is>
          <t>Livo</t>
        </is>
      </c>
      <c r="D94" s="2" t="inlineStr">
        <is>
          <t>Drum OBD2</t>
        </is>
      </c>
      <c r="E94" s="2" t="inlineStr">
        <is>
          <t>Commuter</t>
        </is>
      </c>
      <c r="F94" s="2" t="inlineStr">
        <is>
          <t>Mass-market ICE</t>
        </is>
      </c>
      <c r="G94" s="2">
        <f>IF(COUNTIFS(videos!$A:$A,A94,videos!$C:$C,"&lt;&gt;")&gt;=1,"Yes","No")</f>
        <v/>
      </c>
      <c r="H94" s="2">
        <f>IF(G94="Yes","Done","Not started")</f>
        <v/>
      </c>
    </row>
    <row r="95">
      <c r="A95" s="2" t="inlineStr">
        <is>
          <t>honda_shine_125_drum_obd2</t>
        </is>
      </c>
      <c r="B95" s="2" t="inlineStr">
        <is>
          <t>Honda</t>
        </is>
      </c>
      <c r="C95" s="2" t="inlineStr">
        <is>
          <t>Shine 125</t>
        </is>
      </c>
      <c r="D95" s="2" t="inlineStr">
        <is>
          <t>Drum OBD2</t>
        </is>
      </c>
      <c r="E95" s="2" t="inlineStr">
        <is>
          <t>Commuter</t>
        </is>
      </c>
      <c r="F95" s="2" t="inlineStr">
        <is>
          <t>Mass-market ICE</t>
        </is>
      </c>
      <c r="G95" s="2">
        <f>IF(COUNTIFS(videos!$A:$A,A95,videos!$C:$C,"&lt;&gt;")&gt;=1,"Yes","No")</f>
        <v/>
      </c>
      <c r="H95" s="2">
        <f>IF(G95="Yes","Done","Not started")</f>
        <v/>
      </c>
    </row>
    <row r="96">
      <c r="A96" s="2" t="inlineStr">
        <is>
          <t>honda_sp_125_drum_obd2</t>
        </is>
      </c>
      <c r="B96" s="2" t="inlineStr">
        <is>
          <t>Honda</t>
        </is>
      </c>
      <c r="C96" s="2" t="inlineStr">
        <is>
          <t>SP 125</t>
        </is>
      </c>
      <c r="D96" s="2" t="inlineStr">
        <is>
          <t>Drum OBD2</t>
        </is>
      </c>
      <c r="E96" s="2" t="inlineStr">
        <is>
          <t>Commuter</t>
        </is>
      </c>
      <c r="F96" s="2" t="inlineStr">
        <is>
          <t>Mass-market ICE</t>
        </is>
      </c>
      <c r="G96" s="2">
        <f>IF(COUNTIFS(videos!$A:$A,A96,videos!$C:$C,"&lt;&gt;")&gt;=1,"Yes","No")</f>
        <v/>
      </c>
      <c r="H96" s="2">
        <f>IF(G96="Yes","Done","Not started")</f>
        <v/>
      </c>
    </row>
    <row r="97">
      <c r="A97" s="2" t="inlineStr">
        <is>
          <t>honda_unicorn_standard_obd2</t>
        </is>
      </c>
      <c r="B97" s="2" t="inlineStr">
        <is>
          <t>Honda</t>
        </is>
      </c>
      <c r="C97" s="2" t="inlineStr">
        <is>
          <t>Unicorn</t>
        </is>
      </c>
      <c r="D97" s="2" t="inlineStr">
        <is>
          <t>Standard OBD2</t>
        </is>
      </c>
      <c r="E97" s="2" t="inlineStr">
        <is>
          <t>Commuter</t>
        </is>
      </c>
      <c r="F97" s="2" t="inlineStr">
        <is>
          <t>Mass-market ICE</t>
        </is>
      </c>
      <c r="G97" s="2">
        <f>IF(COUNTIFS(videos!$A:$A,A97,videos!$C:$C,"&lt;&gt;")&gt;=1,"Yes","No")</f>
        <v/>
      </c>
      <c r="H97" s="2">
        <f>IF(G97="Yes","Done","Not started")</f>
        <v/>
      </c>
    </row>
    <row r="98">
      <c r="A98" s="2" t="inlineStr">
        <is>
          <t>honda_sp_160_single_disc</t>
        </is>
      </c>
      <c r="B98" s="2" t="inlineStr">
        <is>
          <t>Honda</t>
        </is>
      </c>
      <c r="C98" s="2" t="inlineStr">
        <is>
          <t>SP 160</t>
        </is>
      </c>
      <c r="D98" s="2" t="inlineStr">
        <is>
          <t>Single Disc</t>
        </is>
      </c>
      <c r="E98" s="2" t="inlineStr">
        <is>
          <t>Commuter</t>
        </is>
      </c>
      <c r="F98" s="2" t="inlineStr">
        <is>
          <t>Mass-market ICE</t>
        </is>
      </c>
      <c r="G98" s="2">
        <f>IF(COUNTIFS(videos!$A:$A,A98,videos!$C:$C,"&lt;&gt;")&gt;=1,"Yes","No")</f>
        <v/>
      </c>
      <c r="H98" s="2">
        <f>IF(G98="Yes","Done","Not started")</f>
        <v/>
      </c>
    </row>
    <row r="99">
      <c r="A99" s="2" t="inlineStr">
        <is>
          <t>honda_cb_125_hornet_standard</t>
        </is>
      </c>
      <c r="B99" s="2" t="inlineStr">
        <is>
          <t>Honda</t>
        </is>
      </c>
      <c r="C99" s="2" t="inlineStr">
        <is>
          <t>CB 125 Hornet</t>
        </is>
      </c>
      <c r="D99" s="2" t="inlineStr">
        <is>
          <t>Standard</t>
        </is>
      </c>
      <c r="E99" s="2" t="inlineStr">
        <is>
          <t>Naked/Street</t>
        </is>
      </c>
      <c r="F99" s="2" t="inlineStr">
        <is>
          <t>Mass-market ICE</t>
        </is>
      </c>
      <c r="G99" s="2">
        <f>IF(COUNTIFS(videos!$A:$A,A99,videos!$C:$C,"&lt;&gt;")&gt;=1,"Yes","No")</f>
        <v/>
      </c>
      <c r="H99" s="2">
        <f>IF(G99="Yes","Done","Not started")</f>
        <v/>
      </c>
    </row>
    <row r="100">
      <c r="A100" s="2" t="inlineStr">
        <is>
          <t>honda_hornet_2_0_standard_obd2</t>
        </is>
      </c>
      <c r="B100" s="2" t="inlineStr">
        <is>
          <t>Honda</t>
        </is>
      </c>
      <c r="C100" s="2" t="inlineStr">
        <is>
          <t>Hornet 2.0</t>
        </is>
      </c>
      <c r="D100" s="2" t="inlineStr">
        <is>
          <t>Standard OBD2</t>
        </is>
      </c>
      <c r="E100" s="2" t="inlineStr">
        <is>
          <t>Naked/Street</t>
        </is>
      </c>
      <c r="F100" s="2" t="inlineStr">
        <is>
          <t>Mass-market ICE</t>
        </is>
      </c>
      <c r="G100" s="2">
        <f>IF(COUNTIFS(videos!$A:$A,A100,videos!$C:$C,"&lt;&gt;")&gt;=1,"Yes","No")</f>
        <v/>
      </c>
      <c r="H100" s="2">
        <f>IF(G100="Yes","Done","Not started")</f>
        <v/>
      </c>
    </row>
    <row r="101">
      <c r="A101" s="2" t="inlineStr">
        <is>
          <t>honda_cb350_dlx</t>
        </is>
      </c>
      <c r="B101" s="2" t="inlineStr">
        <is>
          <t>Honda</t>
        </is>
      </c>
      <c r="C101" s="2" t="inlineStr">
        <is>
          <t>CB350</t>
        </is>
      </c>
      <c r="D101" s="2" t="inlineStr">
        <is>
          <t>DLX</t>
        </is>
      </c>
      <c r="E101" s="2" t="inlineStr">
        <is>
          <t>Cruiser</t>
        </is>
      </c>
      <c r="F101" s="2" t="inlineStr">
        <is>
          <t>Premium/Performance ICE</t>
        </is>
      </c>
      <c r="G101" s="2">
        <f>IF(COUNTIFS(videos!$A:$A,A101,videos!$C:$C,"&lt;&gt;")&gt;=1,"Yes","No")</f>
        <v/>
      </c>
      <c r="H101" s="2">
        <f>IF(G101="Yes","Done","Not started")</f>
        <v/>
      </c>
    </row>
    <row r="102">
      <c r="A102" s="2" t="inlineStr">
        <is>
          <t>honda_h_ness_cb350_dlx</t>
        </is>
      </c>
      <c r="B102" s="2" t="inlineStr">
        <is>
          <t>Honda</t>
        </is>
      </c>
      <c r="C102" s="2" t="inlineStr">
        <is>
          <t>H'ness CB350</t>
        </is>
      </c>
      <c r="D102" s="2" t="inlineStr">
        <is>
          <t>DLX</t>
        </is>
      </c>
      <c r="E102" s="2" t="inlineStr">
        <is>
          <t>Naked/Street</t>
        </is>
      </c>
      <c r="F102" s="2" t="inlineStr">
        <is>
          <t>Premium/Performance ICE</t>
        </is>
      </c>
      <c r="G102" s="2">
        <f>IF(COUNTIFS(videos!$A:$A,A102,videos!$C:$C,"&lt;&gt;")&gt;=1,"Yes","No")</f>
        <v/>
      </c>
      <c r="H102" s="2">
        <f>IF(G102="Yes","Done","Not started")</f>
        <v/>
      </c>
    </row>
    <row r="103">
      <c r="A103" s="2" t="inlineStr">
        <is>
          <t>honda_cb350rs_dlx</t>
        </is>
      </c>
      <c r="B103" s="2" t="inlineStr">
        <is>
          <t>Honda</t>
        </is>
      </c>
      <c r="C103" s="2" t="inlineStr">
        <is>
          <t>CB350RS</t>
        </is>
      </c>
      <c r="D103" s="2" t="inlineStr">
        <is>
          <t>DLX</t>
        </is>
      </c>
      <c r="E103" s="2" t="inlineStr">
        <is>
          <t>Naked/Street</t>
        </is>
      </c>
      <c r="F103" s="2" t="inlineStr">
        <is>
          <t>Premium/Performance ICE</t>
        </is>
      </c>
      <c r="G103" s="2">
        <f>IF(COUNTIFS(videos!$A:$A,A103,videos!$C:$C,"&lt;&gt;")&gt;=1,"Yes","No")</f>
        <v/>
      </c>
      <c r="H103" s="2">
        <f>IF(G103="Yes","Done","Not started")</f>
        <v/>
      </c>
    </row>
    <row r="104">
      <c r="A104" s="2" t="inlineStr">
        <is>
          <t>honda_cb350c_standard</t>
        </is>
      </c>
      <c r="B104" s="2" t="inlineStr">
        <is>
          <t>Honda</t>
        </is>
      </c>
      <c r="C104" s="2" t="inlineStr">
        <is>
          <t>CB350C</t>
        </is>
      </c>
      <c r="D104" s="2" t="inlineStr">
        <is>
          <t>Standard</t>
        </is>
      </c>
      <c r="E104" s="2" t="inlineStr">
        <is>
          <t>Cruiser</t>
        </is>
      </c>
      <c r="F104" s="2" t="inlineStr">
        <is>
          <t>Premium/Performance ICE</t>
        </is>
      </c>
      <c r="G104" s="2">
        <f>IF(COUNTIFS(videos!$A:$A,A104,videos!$C:$C,"&lt;&gt;")&gt;=1,"Yes","No")</f>
        <v/>
      </c>
      <c r="H104" s="2">
        <f>IF(G104="Yes","Done","Not started")</f>
        <v/>
      </c>
    </row>
    <row r="105">
      <c r="A105" s="2" t="inlineStr">
        <is>
          <t>honda_nx200_standard_obd2</t>
        </is>
      </c>
      <c r="B105" s="2" t="inlineStr">
        <is>
          <t>Honda</t>
        </is>
      </c>
      <c r="C105" s="2" t="inlineStr">
        <is>
          <t>NX200</t>
        </is>
      </c>
      <c r="D105" s="2" t="inlineStr">
        <is>
          <t>Standard OBD2</t>
        </is>
      </c>
      <c r="E105" s="2" t="inlineStr">
        <is>
          <t>Adventure</t>
        </is>
      </c>
      <c r="F105" s="2" t="inlineStr">
        <is>
          <t>Premium/Performance ICE</t>
        </is>
      </c>
      <c r="G105" s="2">
        <f>IF(COUNTIFS(videos!$A:$A,A105,videos!$C:$C,"&lt;&gt;")&gt;=1,"Yes","No")</f>
        <v/>
      </c>
      <c r="H105" s="2">
        <f>IF(G105="Yes","Done","Not started")</f>
        <v/>
      </c>
    </row>
    <row r="106">
      <c r="A106" s="2" t="inlineStr">
        <is>
          <t>honda_activa_6g_standard_obd2</t>
        </is>
      </c>
      <c r="B106" s="2" t="inlineStr">
        <is>
          <t>Honda</t>
        </is>
      </c>
      <c r="C106" s="2" t="inlineStr">
        <is>
          <t>Activa 6G</t>
        </is>
      </c>
      <c r="D106" s="2" t="inlineStr">
        <is>
          <t>Standard OBD2</t>
        </is>
      </c>
      <c r="E106" s="2" t="inlineStr">
        <is>
          <t>Scooter</t>
        </is>
      </c>
      <c r="F106" s="2" t="inlineStr">
        <is>
          <t>Mass-market ICE</t>
        </is>
      </c>
      <c r="G106" s="2">
        <f>IF(COUNTIFS(videos!$A:$A,A106,videos!$C:$C,"&lt;&gt;")&gt;=1,"Yes","No")</f>
        <v/>
      </c>
      <c r="H106" s="2">
        <f>IF(G106="Yes","Done","Not started")</f>
        <v/>
      </c>
    </row>
    <row r="107">
      <c r="A107" s="2" t="inlineStr">
        <is>
          <t>honda_activa_125_drum_obd2</t>
        </is>
      </c>
      <c r="B107" s="2" t="inlineStr">
        <is>
          <t>Honda</t>
        </is>
      </c>
      <c r="C107" s="2" t="inlineStr">
        <is>
          <t>Activa 125</t>
        </is>
      </c>
      <c r="D107" s="2" t="inlineStr">
        <is>
          <t>Drum OBD2</t>
        </is>
      </c>
      <c r="E107" s="2" t="inlineStr">
        <is>
          <t>Scooter</t>
        </is>
      </c>
      <c r="F107" s="2" t="inlineStr">
        <is>
          <t>Mass-market ICE</t>
        </is>
      </c>
      <c r="G107" s="2">
        <f>IF(COUNTIFS(videos!$A:$A,A107,videos!$C:$C,"&lt;&gt;")&gt;=1,"Yes","No")</f>
        <v/>
      </c>
      <c r="H107" s="2">
        <f>IF(G107="Yes","Done","Not started")</f>
        <v/>
      </c>
    </row>
    <row r="108">
      <c r="A108" s="2" t="inlineStr">
        <is>
          <t>honda_dio_standard_obd2</t>
        </is>
      </c>
      <c r="B108" s="2" t="inlineStr">
        <is>
          <t>Honda</t>
        </is>
      </c>
      <c r="C108" s="2" t="inlineStr">
        <is>
          <t>Dio</t>
        </is>
      </c>
      <c r="D108" s="2" t="inlineStr">
        <is>
          <t>Standard OBD2</t>
        </is>
      </c>
      <c r="E108" s="2" t="inlineStr">
        <is>
          <t>Scooter</t>
        </is>
      </c>
      <c r="F108" s="2" t="inlineStr">
        <is>
          <t>Mass-market ICE</t>
        </is>
      </c>
      <c r="G108" s="2">
        <f>IF(COUNTIFS(videos!$A:$A,A108,videos!$C:$C,"&lt;&gt;")&gt;=1,"Yes","No")</f>
        <v/>
      </c>
      <c r="H108" s="2">
        <f>IF(G108="Yes","Done","Not started")</f>
        <v/>
      </c>
    </row>
    <row r="109">
      <c r="A109" s="2" t="inlineStr">
        <is>
          <t>honda_dio_125_standard_obd2</t>
        </is>
      </c>
      <c r="B109" s="2" t="inlineStr">
        <is>
          <t>Honda</t>
        </is>
      </c>
      <c r="C109" s="2" t="inlineStr">
        <is>
          <t>Dio 125</t>
        </is>
      </c>
      <c r="D109" s="2" t="inlineStr">
        <is>
          <t>Standard OBD2</t>
        </is>
      </c>
      <c r="E109" s="2" t="inlineStr">
        <is>
          <t>Scooter</t>
        </is>
      </c>
      <c r="F109" s="2" t="inlineStr">
        <is>
          <t>Mass-market ICE</t>
        </is>
      </c>
      <c r="G109" s="2">
        <f>IF(COUNTIFS(videos!$A:$A,A109,videos!$C:$C,"&lt;&gt;")&gt;=1,"Yes","No")</f>
        <v/>
      </c>
      <c r="H109" s="2">
        <f>IF(G109="Yes","Done","Not started")</f>
        <v/>
      </c>
    </row>
    <row r="110">
      <c r="A110" s="2" t="inlineStr">
        <is>
          <t>honda_transalp_xl750_standard</t>
        </is>
      </c>
      <c r="B110" s="2" t="inlineStr">
        <is>
          <t>Honda</t>
        </is>
      </c>
      <c r="C110" s="2" t="inlineStr">
        <is>
          <t>Transalp XL750</t>
        </is>
      </c>
      <c r="D110" s="2" t="inlineStr">
        <is>
          <t>Standard</t>
        </is>
      </c>
      <c r="E110" s="2" t="inlineStr">
        <is>
          <t>Adventure</t>
        </is>
      </c>
      <c r="F110" s="2" t="inlineStr">
        <is>
          <t>Premium/Performance ICE</t>
        </is>
      </c>
      <c r="G110" s="2">
        <f>IF(COUNTIFS(videos!$A:$A,A110,videos!$C:$C,"&lt;&gt;")&gt;=1,"Yes","No")</f>
        <v/>
      </c>
      <c r="H110" s="2">
        <f>IF(G110="Yes","Done","Not started")</f>
        <v/>
      </c>
    </row>
    <row r="111">
      <c r="A111" s="2" t="inlineStr">
        <is>
          <t>honda_nx500_standard</t>
        </is>
      </c>
      <c r="B111" s="2" t="inlineStr">
        <is>
          <t>Honda</t>
        </is>
      </c>
      <c r="C111" s="2" t="inlineStr">
        <is>
          <t>NX500</t>
        </is>
      </c>
      <c r="D111" s="2" t="inlineStr">
        <is>
          <t>Standard</t>
        </is>
      </c>
      <c r="E111" s="2" t="inlineStr">
        <is>
          <t>Adventure</t>
        </is>
      </c>
      <c r="F111" s="2" t="inlineStr">
        <is>
          <t>Premium/Performance ICE</t>
        </is>
      </c>
      <c r="G111" s="2">
        <f>IF(COUNTIFS(videos!$A:$A,A111,videos!$C:$C,"&lt;&gt;")&gt;=1,"Yes","No")</f>
        <v/>
      </c>
      <c r="H111" s="2">
        <f>IF(G111="Yes","Done","Not started")</f>
        <v/>
      </c>
    </row>
    <row r="112">
      <c r="A112" s="2" t="inlineStr">
        <is>
          <t>honda_cb750_hornet_standard</t>
        </is>
      </c>
      <c r="B112" s="2" t="inlineStr">
        <is>
          <t>Honda</t>
        </is>
      </c>
      <c r="C112" s="2" t="inlineStr">
        <is>
          <t>CB750 Hornet</t>
        </is>
      </c>
      <c r="D112" s="2" t="inlineStr">
        <is>
          <t>Standard</t>
        </is>
      </c>
      <c r="E112" s="2" t="inlineStr">
        <is>
          <t>Naked/Street</t>
        </is>
      </c>
      <c r="F112" s="2" t="inlineStr">
        <is>
          <t>Premium/Performance ICE</t>
        </is>
      </c>
      <c r="G112" s="2">
        <f>IF(COUNTIFS(videos!$A:$A,A112,videos!$C:$C,"&lt;&gt;")&gt;=1,"Yes","No")</f>
        <v/>
      </c>
      <c r="H112" s="2">
        <f>IF(G112="Yes","Done","Not started")</f>
        <v/>
      </c>
    </row>
    <row r="113">
      <c r="A113" s="2" t="inlineStr">
        <is>
          <t>honda_cb1000_hornet_standard</t>
        </is>
      </c>
      <c r="B113" s="2" t="inlineStr">
        <is>
          <t>Honda</t>
        </is>
      </c>
      <c r="C113" s="2" t="inlineStr">
        <is>
          <t>CB1000 Hornet</t>
        </is>
      </c>
      <c r="D113" s="2" t="inlineStr">
        <is>
          <t>Standard</t>
        </is>
      </c>
      <c r="E113" s="2" t="inlineStr">
        <is>
          <t>Superbike</t>
        </is>
      </c>
      <c r="F113" s="2" t="inlineStr">
        <is>
          <t>Premium/Performance ICE</t>
        </is>
      </c>
      <c r="G113" s="2">
        <f>IF(COUNTIFS(videos!$A:$A,A113,videos!$C:$C,"&lt;&gt;")&gt;=1,"Yes","No")</f>
        <v/>
      </c>
      <c r="H113" s="2">
        <f>IF(G113="Yes","Done","Not started")</f>
        <v/>
      </c>
    </row>
    <row r="114">
      <c r="A114" s="2" t="inlineStr">
        <is>
          <t>honda_cbr1000rr_r_fireblade_sp</t>
        </is>
      </c>
      <c r="B114" s="2" t="inlineStr">
        <is>
          <t>Honda</t>
        </is>
      </c>
      <c r="C114" s="2" t="inlineStr">
        <is>
          <t>CBR1000RR-R Fireblade</t>
        </is>
      </c>
      <c r="D114" s="2" t="inlineStr">
        <is>
          <t>SP</t>
        </is>
      </c>
      <c r="E114" s="2" t="inlineStr">
        <is>
          <t>Superbike</t>
        </is>
      </c>
      <c r="F114" s="2" t="inlineStr">
        <is>
          <t>Premium/Performance ICE</t>
        </is>
      </c>
      <c r="G114" s="2">
        <f>IF(COUNTIFS(videos!$A:$A,A114,videos!$C:$C,"&lt;&gt;")&gt;=1,"Yes","No")</f>
        <v/>
      </c>
      <c r="H114" s="2">
        <f>IF(G114="Yes","Done","Not started")</f>
        <v/>
      </c>
    </row>
    <row r="115">
      <c r="A115" s="2" t="inlineStr">
        <is>
          <t>honda_goldwing_tour_dct_airbag</t>
        </is>
      </c>
      <c r="B115" s="2" t="inlineStr">
        <is>
          <t>Honda</t>
        </is>
      </c>
      <c r="C115" s="2" t="inlineStr">
        <is>
          <t>Goldwing</t>
        </is>
      </c>
      <c r="D115" s="2" t="inlineStr">
        <is>
          <t>Tour DCT Airbag</t>
        </is>
      </c>
      <c r="E115" s="2" t="inlineStr">
        <is>
          <t>Tourer</t>
        </is>
      </c>
      <c r="F115" s="2" t="inlineStr">
        <is>
          <t>Premium/Performance ICE</t>
        </is>
      </c>
      <c r="G115" s="2">
        <f>IF(COUNTIFS(videos!$A:$A,A115,videos!$C:$C,"&lt;&gt;")&gt;=1,"Yes","No")</f>
        <v/>
      </c>
      <c r="H115" s="2">
        <f>IF(G115="Yes","Done","Not started")</f>
        <v/>
      </c>
    </row>
    <row r="116">
      <c r="A116" s="2" t="inlineStr">
        <is>
          <t>husqvarna_vitpilen_250_standard</t>
        </is>
      </c>
      <c r="B116" s="2" t="inlineStr">
        <is>
          <t>Husqvarna</t>
        </is>
      </c>
      <c r="C116" s="2" t="inlineStr">
        <is>
          <t>Vitpilen 250</t>
        </is>
      </c>
      <c r="D116" s="2" t="inlineStr">
        <is>
          <t>Standard</t>
        </is>
      </c>
      <c r="E116" s="2" t="inlineStr">
        <is>
          <t>Cafe Racer</t>
        </is>
      </c>
      <c r="F116" s="2" t="inlineStr">
        <is>
          <t>Premium/Performance ICE</t>
        </is>
      </c>
      <c r="G116" s="2">
        <f>IF(COUNTIFS(videos!$A:$A,A116,videos!$C:$C,"&lt;&gt;")&gt;=1,"Yes","No")</f>
        <v/>
      </c>
      <c r="H116" s="2">
        <f>IF(G116="Yes","Done","Not started")</f>
        <v/>
      </c>
    </row>
    <row r="117">
      <c r="A117" s="2" t="inlineStr">
        <is>
          <t>husqvarna_svartpilen_250_standard</t>
        </is>
      </c>
      <c r="B117" s="2" t="inlineStr">
        <is>
          <t>Husqvarna</t>
        </is>
      </c>
      <c r="C117" s="2" t="inlineStr">
        <is>
          <t>Svartpilen 250</t>
        </is>
      </c>
      <c r="D117" s="2" t="inlineStr">
        <is>
          <t>Standard</t>
        </is>
      </c>
      <c r="E117" s="2" t="inlineStr">
        <is>
          <t>Naked/Street</t>
        </is>
      </c>
      <c r="F117" s="2" t="inlineStr">
        <is>
          <t>Premium/Performance ICE</t>
        </is>
      </c>
      <c r="G117" s="2">
        <f>IF(COUNTIFS(videos!$A:$A,A117,videos!$C:$C,"&lt;&gt;")&gt;=1,"Yes","No")</f>
        <v/>
      </c>
      <c r="H117" s="2">
        <f>IF(G117="Yes","Done","Not started")</f>
        <v/>
      </c>
    </row>
    <row r="118">
      <c r="A118" s="2" t="inlineStr">
        <is>
          <t>husqvarna_svartpilen_401_standard</t>
        </is>
      </c>
      <c r="B118" s="2" t="inlineStr">
        <is>
          <t>Husqvarna</t>
        </is>
      </c>
      <c r="C118" s="2" t="inlineStr">
        <is>
          <t>Svartpilen 401</t>
        </is>
      </c>
      <c r="D118" s="2" t="inlineStr">
        <is>
          <t>Standard</t>
        </is>
      </c>
      <c r="E118" s="2" t="inlineStr">
        <is>
          <t>Naked/Street</t>
        </is>
      </c>
      <c r="F118" s="2" t="inlineStr">
        <is>
          <t>Premium/Performance ICE</t>
        </is>
      </c>
      <c r="G118" s="2">
        <f>IF(COUNTIFS(videos!$A:$A,A118,videos!$C:$C,"&lt;&gt;")&gt;=1,"Yes","No")</f>
        <v/>
      </c>
      <c r="H118" s="2">
        <f>IF(G118="Yes","Done","Not started")</f>
        <v/>
      </c>
    </row>
    <row r="119">
      <c r="A119" s="2" t="inlineStr">
        <is>
          <t>indian_motorcycle_scout_scout_sixty_bobber</t>
        </is>
      </c>
      <c r="B119" s="2" t="inlineStr">
        <is>
          <t>Indian Motorcycle</t>
        </is>
      </c>
      <c r="C119" s="2" t="inlineStr">
        <is>
          <t>Scout</t>
        </is>
      </c>
      <c r="D119" s="2" t="inlineStr">
        <is>
          <t>Scout Sixty Bobber</t>
        </is>
      </c>
      <c r="E119" s="2" t="inlineStr">
        <is>
          <t>Cruiser</t>
        </is>
      </c>
      <c r="F119" s="2" t="inlineStr">
        <is>
          <t>Premium/Performance ICE</t>
        </is>
      </c>
      <c r="G119" s="2">
        <f>IF(COUNTIFS(videos!$A:$A,A119,videos!$C:$C,"&lt;&gt;")&gt;=1,"Yes","No")</f>
        <v/>
      </c>
      <c r="H119" s="2">
        <f>IF(G119="Yes","Done","Not started")</f>
        <v/>
      </c>
    </row>
    <row r="120">
      <c r="A120" s="2" t="inlineStr">
        <is>
          <t>indian_motorcycle_chief_chief_dark_horse</t>
        </is>
      </c>
      <c r="B120" s="2" t="inlineStr">
        <is>
          <t>Indian Motorcycle</t>
        </is>
      </c>
      <c r="C120" s="2" t="inlineStr">
        <is>
          <t>Chief</t>
        </is>
      </c>
      <c r="D120" s="2" t="inlineStr">
        <is>
          <t>Chief Dark Horse</t>
        </is>
      </c>
      <c r="E120" s="2" t="inlineStr">
        <is>
          <t>Cruiser</t>
        </is>
      </c>
      <c r="F120" s="2" t="inlineStr">
        <is>
          <t>Premium/Performance ICE</t>
        </is>
      </c>
      <c r="G120" s="2">
        <f>IF(COUNTIFS(videos!$A:$A,A120,videos!$C:$C,"&lt;&gt;")&gt;=1,"Yes","No")</f>
        <v/>
      </c>
      <c r="H120" s="2">
        <f>IF(G120="Yes","Done","Not started")</f>
        <v/>
      </c>
    </row>
    <row r="121">
      <c r="A121" s="2" t="inlineStr">
        <is>
          <t>indian_motorcycle_springfield_standard</t>
        </is>
      </c>
      <c r="B121" s="2" t="inlineStr">
        <is>
          <t>Indian Motorcycle</t>
        </is>
      </c>
      <c r="C121" s="2" t="inlineStr">
        <is>
          <t>Springfield</t>
        </is>
      </c>
      <c r="D121" s="2" t="inlineStr">
        <is>
          <t>Standard</t>
        </is>
      </c>
      <c r="E121" s="2" t="inlineStr">
        <is>
          <t>Cruiser</t>
        </is>
      </c>
      <c r="F121" s="2" t="inlineStr">
        <is>
          <t>Premium/Performance ICE</t>
        </is>
      </c>
      <c r="G121" s="2">
        <f>IF(COUNTIFS(videos!$A:$A,A121,videos!$C:$C,"&lt;&gt;")&gt;=1,"Yes","No")</f>
        <v/>
      </c>
      <c r="H121" s="2">
        <f>IF(G121="Yes","Done","Not started")</f>
        <v/>
      </c>
    </row>
    <row r="122">
      <c r="A122" s="2" t="inlineStr">
        <is>
          <t>indian_motorcycle_chieftain_dark_horse</t>
        </is>
      </c>
      <c r="B122" s="2" t="inlineStr">
        <is>
          <t>Indian Motorcycle</t>
        </is>
      </c>
      <c r="C122" s="2" t="inlineStr">
        <is>
          <t>Chieftain</t>
        </is>
      </c>
      <c r="D122" s="2" t="inlineStr">
        <is>
          <t>Dark Horse</t>
        </is>
      </c>
      <c r="E122" s="2" t="inlineStr">
        <is>
          <t>Tourer</t>
        </is>
      </c>
      <c r="F122" s="2" t="inlineStr">
        <is>
          <t>Premium/Performance ICE</t>
        </is>
      </c>
      <c r="G122" s="2">
        <f>IF(COUNTIFS(videos!$A:$A,A122,videos!$C:$C,"&lt;&gt;")&gt;=1,"Yes","No")</f>
        <v/>
      </c>
      <c r="H122" s="2">
        <f>IF(G122="Yes","Done","Not started")</f>
        <v/>
      </c>
    </row>
    <row r="123">
      <c r="A123" s="2" t="inlineStr">
        <is>
          <t>indian_motorcycle_challenger_standard</t>
        </is>
      </c>
      <c r="B123" s="2" t="inlineStr">
        <is>
          <t>Indian Motorcycle</t>
        </is>
      </c>
      <c r="C123" s="2" t="inlineStr">
        <is>
          <t>Challenger</t>
        </is>
      </c>
      <c r="D123" s="2" t="inlineStr">
        <is>
          <t>Standard</t>
        </is>
      </c>
      <c r="E123" s="2" t="inlineStr">
        <is>
          <t>Tourer</t>
        </is>
      </c>
      <c r="F123" s="2" t="inlineStr">
        <is>
          <t>Premium/Performance ICE</t>
        </is>
      </c>
      <c r="G123" s="2">
        <f>IF(COUNTIFS(videos!$A:$A,A123,videos!$C:$C,"&lt;&gt;")&gt;=1,"Yes","No")</f>
        <v/>
      </c>
      <c r="H123" s="2">
        <f>IF(G123="Yes","Done","Not started")</f>
        <v/>
      </c>
    </row>
    <row r="124">
      <c r="A124" s="2" t="inlineStr">
        <is>
          <t>indian_motorcycle_pursuit_limited</t>
        </is>
      </c>
      <c r="B124" s="2" t="inlineStr">
        <is>
          <t>Indian Motorcycle</t>
        </is>
      </c>
      <c r="C124" s="2" t="inlineStr">
        <is>
          <t>Pursuit</t>
        </is>
      </c>
      <c r="D124" s="2" t="inlineStr">
        <is>
          <t>Limited</t>
        </is>
      </c>
      <c r="E124" s="2" t="inlineStr">
        <is>
          <t>Tourer</t>
        </is>
      </c>
      <c r="F124" s="2" t="inlineStr">
        <is>
          <t>Premium/Performance ICE</t>
        </is>
      </c>
      <c r="G124" s="2">
        <f>IF(COUNTIFS(videos!$A:$A,A124,videos!$C:$C,"&lt;&gt;")&gt;=1,"Yes","No")</f>
        <v/>
      </c>
      <c r="H124" s="2">
        <f>IF(G124="Yes","Done","Not started")</f>
        <v/>
      </c>
    </row>
    <row r="125">
      <c r="A125" s="2" t="inlineStr">
        <is>
          <t>jawa_jawa_350_standard</t>
        </is>
      </c>
      <c r="B125" s="2" t="inlineStr">
        <is>
          <t>Jawa</t>
        </is>
      </c>
      <c r="C125" s="2" t="inlineStr">
        <is>
          <t>Jawa 350</t>
        </is>
      </c>
      <c r="D125" s="2" t="inlineStr">
        <is>
          <t>Standard</t>
        </is>
      </c>
      <c r="E125" s="2" t="inlineStr">
        <is>
          <t>Naked/Street</t>
        </is>
      </c>
      <c r="F125" s="2" t="inlineStr">
        <is>
          <t>Retro/Lifestyle ICE</t>
        </is>
      </c>
      <c r="G125" s="2">
        <f>IF(COUNTIFS(videos!$A:$A,A125,videos!$C:$C,"&lt;&gt;")&gt;=1,"Yes","No")</f>
        <v/>
      </c>
      <c r="H125" s="2">
        <f>IF(G125="Yes","Done","Not started")</f>
        <v/>
      </c>
    </row>
    <row r="126">
      <c r="A126" s="2" t="inlineStr">
        <is>
          <t>jawa_jawa_42_single_tone</t>
        </is>
      </c>
      <c r="B126" s="2" t="inlineStr">
        <is>
          <t>Jawa</t>
        </is>
      </c>
      <c r="C126" s="2" t="inlineStr">
        <is>
          <t>Jawa 42</t>
        </is>
      </c>
      <c r="D126" s="2" t="inlineStr">
        <is>
          <t>Single Tone</t>
        </is>
      </c>
      <c r="E126" s="2" t="inlineStr">
        <is>
          <t>Naked/Street</t>
        </is>
      </c>
      <c r="F126" s="2" t="inlineStr">
        <is>
          <t>Retro/Lifestyle ICE</t>
        </is>
      </c>
      <c r="G126" s="2">
        <f>IF(COUNTIFS(videos!$A:$A,A126,videos!$C:$C,"&lt;&gt;")&gt;=1,"Yes","No")</f>
        <v/>
      </c>
      <c r="H126" s="2">
        <f>IF(G126="Yes","Done","Not started")</f>
        <v/>
      </c>
    </row>
    <row r="127">
      <c r="A127" s="2" t="inlineStr">
        <is>
          <t>jawa_jawa_42_fj_aurora_green_matte</t>
        </is>
      </c>
      <c r="B127" s="2" t="inlineStr">
        <is>
          <t>Jawa</t>
        </is>
      </c>
      <c r="C127" s="2" t="inlineStr">
        <is>
          <t>Jawa 42 FJ</t>
        </is>
      </c>
      <c r="D127" s="2" t="inlineStr">
        <is>
          <t>Aurora Green Matte</t>
        </is>
      </c>
      <c r="E127" s="2" t="inlineStr">
        <is>
          <t>Naked/Street</t>
        </is>
      </c>
      <c r="F127" s="2" t="inlineStr">
        <is>
          <t>Retro/Lifestyle ICE</t>
        </is>
      </c>
      <c r="G127" s="2">
        <f>IF(COUNTIFS(videos!$A:$A,A127,videos!$C:$C,"&lt;&gt;")&gt;=1,"Yes","No")</f>
        <v/>
      </c>
      <c r="H127" s="2">
        <f>IF(G127="Yes","Done","Not started")</f>
        <v/>
      </c>
    </row>
    <row r="128">
      <c r="A128" s="2" t="inlineStr">
        <is>
          <t>jawa_jawa_perak_standard</t>
        </is>
      </c>
      <c r="B128" s="2" t="inlineStr">
        <is>
          <t>Jawa</t>
        </is>
      </c>
      <c r="C128" s="2" t="inlineStr">
        <is>
          <t>Jawa Perak</t>
        </is>
      </c>
      <c r="D128" s="2" t="inlineStr">
        <is>
          <t>Standard</t>
        </is>
      </c>
      <c r="E128" s="2" t="inlineStr">
        <is>
          <t>Cruiser</t>
        </is>
      </c>
      <c r="F128" s="2" t="inlineStr">
        <is>
          <t>Retro/Lifestyle ICE</t>
        </is>
      </c>
      <c r="G128" s="2">
        <f>IF(COUNTIFS(videos!$A:$A,A128,videos!$C:$C,"&lt;&gt;")&gt;=1,"Yes","No")</f>
        <v/>
      </c>
      <c r="H128" s="2">
        <f>IF(G128="Yes","Done","Not started")</f>
        <v/>
      </c>
    </row>
    <row r="129">
      <c r="A129" s="2" t="inlineStr">
        <is>
          <t>jawa_jawa_42_bobber_moonstone_white</t>
        </is>
      </c>
      <c r="B129" s="2" t="inlineStr">
        <is>
          <t>Jawa</t>
        </is>
      </c>
      <c r="C129" s="2" t="inlineStr">
        <is>
          <t>Jawa 42 Bobber</t>
        </is>
      </c>
      <c r="D129" s="2" t="inlineStr">
        <is>
          <t>Moonstone White</t>
        </is>
      </c>
      <c r="E129" s="2" t="inlineStr">
        <is>
          <t>Cruiser</t>
        </is>
      </c>
      <c r="F129" s="2" t="inlineStr">
        <is>
          <t>Retro/Lifestyle ICE</t>
        </is>
      </c>
      <c r="G129" s="2">
        <f>IF(COUNTIFS(videos!$A:$A,A129,videos!$C:$C,"&lt;&gt;")&gt;=1,"Yes","No")</f>
        <v/>
      </c>
      <c r="H129" s="2">
        <f>IF(G129="Yes","Done","Not started")</f>
        <v/>
      </c>
    </row>
    <row r="130">
      <c r="A130" s="2" t="inlineStr">
        <is>
          <t>kawasaki_w175_standard</t>
        </is>
      </c>
      <c r="B130" s="2" t="inlineStr">
        <is>
          <t>Kawasaki</t>
        </is>
      </c>
      <c r="C130" s="2" t="inlineStr">
        <is>
          <t>W175</t>
        </is>
      </c>
      <c r="D130" s="2" t="inlineStr">
        <is>
          <t>Standard</t>
        </is>
      </c>
      <c r="E130" s="2" t="inlineStr">
        <is>
          <t>Cruiser</t>
        </is>
      </c>
      <c r="F130" s="2" t="inlineStr">
        <is>
          <t>Premium/Performance ICE</t>
        </is>
      </c>
      <c r="G130" s="2">
        <f>IF(COUNTIFS(videos!$A:$A,A130,videos!$C:$C,"&lt;&gt;")&gt;=1,"Yes","No")</f>
        <v/>
      </c>
      <c r="H130" s="2">
        <f>IF(G130="Yes","Done","Not started")</f>
        <v/>
      </c>
    </row>
    <row r="131">
      <c r="A131" s="2" t="inlineStr">
        <is>
          <t>kawasaki_ninja_300_standard</t>
        </is>
      </c>
      <c r="B131" s="2" t="inlineStr">
        <is>
          <t>Kawasaki</t>
        </is>
      </c>
      <c r="C131" s="2" t="inlineStr">
        <is>
          <t>Ninja 300</t>
        </is>
      </c>
      <c r="D131" s="2" t="inlineStr">
        <is>
          <t>Standard</t>
        </is>
      </c>
      <c r="E131" s="2" t="inlineStr">
        <is>
          <t>Sport</t>
        </is>
      </c>
      <c r="F131" s="2" t="inlineStr">
        <is>
          <t>Premium/Performance ICE</t>
        </is>
      </c>
      <c r="G131" s="2">
        <f>IF(COUNTIFS(videos!$A:$A,A131,videos!$C:$C,"&lt;&gt;")&gt;=1,"Yes","No")</f>
        <v/>
      </c>
      <c r="H131" s="2">
        <f>IF(G131="Yes","Done","Not started")</f>
        <v/>
      </c>
    </row>
    <row r="132">
      <c r="A132" s="2" t="inlineStr">
        <is>
          <t>kawasaki_ninja_500_standard</t>
        </is>
      </c>
      <c r="B132" s="2" t="inlineStr">
        <is>
          <t>Kawasaki</t>
        </is>
      </c>
      <c r="C132" s="2" t="inlineStr">
        <is>
          <t>Ninja 500</t>
        </is>
      </c>
      <c r="D132" s="2" t="inlineStr">
        <is>
          <t>Standard</t>
        </is>
      </c>
      <c r="E132" s="2" t="inlineStr">
        <is>
          <t>Sport</t>
        </is>
      </c>
      <c r="F132" s="2" t="inlineStr">
        <is>
          <t>Premium/Performance ICE</t>
        </is>
      </c>
      <c r="G132" s="2">
        <f>IF(COUNTIFS(videos!$A:$A,A132,videos!$C:$C,"&lt;&gt;")&gt;=1,"Yes","No")</f>
        <v/>
      </c>
      <c r="H132" s="2">
        <f>IF(G132="Yes","Done","Not started")</f>
        <v/>
      </c>
    </row>
    <row r="133">
      <c r="A133" s="2" t="inlineStr">
        <is>
          <t>kawasaki_ninja_650_standard</t>
        </is>
      </c>
      <c r="B133" s="2" t="inlineStr">
        <is>
          <t>Kawasaki</t>
        </is>
      </c>
      <c r="C133" s="2" t="inlineStr">
        <is>
          <t>Ninja 650</t>
        </is>
      </c>
      <c r="D133" s="2" t="inlineStr">
        <is>
          <t>Standard</t>
        </is>
      </c>
      <c r="E133" s="2" t="inlineStr">
        <is>
          <t>Sport</t>
        </is>
      </c>
      <c r="F133" s="2" t="inlineStr">
        <is>
          <t>Premium/Performance ICE</t>
        </is>
      </c>
      <c r="G133" s="2">
        <f>IF(COUNTIFS(videos!$A:$A,A133,videos!$C:$C,"&lt;&gt;")&gt;=1,"Yes","No")</f>
        <v/>
      </c>
      <c r="H133" s="2">
        <f>IF(G133="Yes","Done","Not started")</f>
        <v/>
      </c>
    </row>
    <row r="134">
      <c r="A134" s="2" t="inlineStr">
        <is>
          <t>kawasaki_ninja_zx_4r_standard</t>
        </is>
      </c>
      <c r="B134" s="2" t="inlineStr">
        <is>
          <t>Kawasaki</t>
        </is>
      </c>
      <c r="C134" s="2" t="inlineStr">
        <is>
          <t>Ninja ZX-4R</t>
        </is>
      </c>
      <c r="D134" s="2" t="inlineStr">
        <is>
          <t>Standard</t>
        </is>
      </c>
      <c r="E134" s="2" t="inlineStr">
        <is>
          <t>Sport</t>
        </is>
      </c>
      <c r="F134" s="2" t="inlineStr">
        <is>
          <t>Premium/Performance ICE</t>
        </is>
      </c>
      <c r="G134" s="2">
        <f>IF(COUNTIFS(videos!$A:$A,A134,videos!$C:$C,"&lt;&gt;")&gt;=1,"Yes","No")</f>
        <v/>
      </c>
      <c r="H134" s="2">
        <f>IF(G134="Yes","Done","Not started")</f>
        <v/>
      </c>
    </row>
    <row r="135">
      <c r="A135" s="2" t="inlineStr">
        <is>
          <t>kawasaki_ninja_zx_4rr_standard</t>
        </is>
      </c>
      <c r="B135" s="2" t="inlineStr">
        <is>
          <t>Kawasaki</t>
        </is>
      </c>
      <c r="C135" s="2" t="inlineStr">
        <is>
          <t>Ninja ZX-4RR</t>
        </is>
      </c>
      <c r="D135" s="2" t="inlineStr">
        <is>
          <t>Standard</t>
        </is>
      </c>
      <c r="E135" s="2" t="inlineStr">
        <is>
          <t>Sport</t>
        </is>
      </c>
      <c r="F135" s="2" t="inlineStr">
        <is>
          <t>Premium/Performance ICE</t>
        </is>
      </c>
      <c r="G135" s="2">
        <f>IF(COUNTIFS(videos!$A:$A,A135,videos!$C:$C,"&lt;&gt;")&gt;=1,"Yes","No")</f>
        <v/>
      </c>
      <c r="H135" s="2">
        <f>IF(G135="Yes","Done","Not started")</f>
        <v/>
      </c>
    </row>
    <row r="136">
      <c r="A136" s="2" t="inlineStr">
        <is>
          <t>kawasaki_ninja_zx_6r_standard</t>
        </is>
      </c>
      <c r="B136" s="2" t="inlineStr">
        <is>
          <t>Kawasaki</t>
        </is>
      </c>
      <c r="C136" s="2" t="inlineStr">
        <is>
          <t>Ninja ZX-6R</t>
        </is>
      </c>
      <c r="D136" s="2" t="inlineStr">
        <is>
          <t>Standard</t>
        </is>
      </c>
      <c r="E136" s="2" t="inlineStr">
        <is>
          <t>Sport</t>
        </is>
      </c>
      <c r="F136" s="2" t="inlineStr">
        <is>
          <t>Premium/Performance ICE</t>
        </is>
      </c>
      <c r="G136" s="2">
        <f>IF(COUNTIFS(videos!$A:$A,A136,videos!$C:$C,"&lt;&gt;")&gt;=1,"Yes","No")</f>
        <v/>
      </c>
      <c r="H136" s="2">
        <f>IF(G136="Yes","Done","Not started")</f>
        <v/>
      </c>
    </row>
    <row r="137">
      <c r="A137" s="2" t="inlineStr">
        <is>
          <t>kawasaki_ninja_zx_10r_standard</t>
        </is>
      </c>
      <c r="B137" s="2" t="inlineStr">
        <is>
          <t>Kawasaki</t>
        </is>
      </c>
      <c r="C137" s="2" t="inlineStr">
        <is>
          <t>Ninja ZX-10R</t>
        </is>
      </c>
      <c r="D137" s="2" t="inlineStr">
        <is>
          <t>Standard</t>
        </is>
      </c>
      <c r="E137" s="2" t="inlineStr">
        <is>
          <t>Superbike</t>
        </is>
      </c>
      <c r="F137" s="2" t="inlineStr">
        <is>
          <t>Premium/Performance ICE</t>
        </is>
      </c>
      <c r="G137" s="2">
        <f>IF(COUNTIFS(videos!$A:$A,A137,videos!$C:$C,"&lt;&gt;")&gt;=1,"Yes","No")</f>
        <v/>
      </c>
      <c r="H137" s="2">
        <f>IF(G137="Yes","Done","Not started")</f>
        <v/>
      </c>
    </row>
    <row r="138">
      <c r="A138" s="2" t="inlineStr">
        <is>
          <t>kawasaki_ninja_h2_sx_standard</t>
        </is>
      </c>
      <c r="B138" s="2" t="inlineStr">
        <is>
          <t>Kawasaki</t>
        </is>
      </c>
      <c r="C138" s="2" t="inlineStr">
        <is>
          <t>Ninja H2 SX</t>
        </is>
      </c>
      <c r="D138" s="2" t="inlineStr">
        <is>
          <t>Standard</t>
        </is>
      </c>
      <c r="E138" s="2" t="inlineStr">
        <is>
          <t>Tourer</t>
        </is>
      </c>
      <c r="F138" s="2" t="inlineStr">
        <is>
          <t>Premium/Performance ICE</t>
        </is>
      </c>
      <c r="G138" s="2">
        <f>IF(COUNTIFS(videos!$A:$A,A138,videos!$C:$C,"&lt;&gt;")&gt;=1,"Yes","No")</f>
        <v/>
      </c>
      <c r="H138" s="2">
        <f>IF(G138="Yes","Done","Not started")</f>
        <v/>
      </c>
    </row>
    <row r="139">
      <c r="A139" s="2" t="inlineStr">
        <is>
          <t>kawasaki_z500_standard</t>
        </is>
      </c>
      <c r="B139" s="2" t="inlineStr">
        <is>
          <t>Kawasaki</t>
        </is>
      </c>
      <c r="C139" s="2" t="inlineStr">
        <is>
          <t>Z500</t>
        </is>
      </c>
      <c r="D139" s="2" t="inlineStr">
        <is>
          <t>Standard</t>
        </is>
      </c>
      <c r="E139" s="2" t="inlineStr">
        <is>
          <t>Naked/Street</t>
        </is>
      </c>
      <c r="F139" s="2" t="inlineStr">
        <is>
          <t>Premium/Performance ICE</t>
        </is>
      </c>
      <c r="G139" s="2">
        <f>IF(COUNTIFS(videos!$A:$A,A139,videos!$C:$C,"&lt;&gt;")&gt;=1,"Yes","No")</f>
        <v/>
      </c>
      <c r="H139" s="2">
        <f>IF(G139="Yes","Done","Not started")</f>
        <v/>
      </c>
    </row>
    <row r="140">
      <c r="A140" s="2" t="inlineStr">
        <is>
          <t>kawasaki_z650_standard</t>
        </is>
      </c>
      <c r="B140" s="2" t="inlineStr">
        <is>
          <t>Kawasaki</t>
        </is>
      </c>
      <c r="C140" s="2" t="inlineStr">
        <is>
          <t>Z650</t>
        </is>
      </c>
      <c r="D140" s="2" t="inlineStr">
        <is>
          <t>Standard</t>
        </is>
      </c>
      <c r="E140" s="2" t="inlineStr">
        <is>
          <t>Naked/Street</t>
        </is>
      </c>
      <c r="F140" s="2" t="inlineStr">
        <is>
          <t>Premium/Performance ICE</t>
        </is>
      </c>
      <c r="G140" s="2">
        <f>IF(COUNTIFS(videos!$A:$A,A140,videos!$C:$C,"&lt;&gt;")&gt;=1,"Yes","No")</f>
        <v/>
      </c>
      <c r="H140" s="2">
        <f>IF(G140="Yes","Done","Not started")</f>
        <v/>
      </c>
    </row>
    <row r="141">
      <c r="A141" s="2" t="inlineStr">
        <is>
          <t>kawasaki_z900_standard</t>
        </is>
      </c>
      <c r="B141" s="2" t="inlineStr">
        <is>
          <t>Kawasaki</t>
        </is>
      </c>
      <c r="C141" s="2" t="inlineStr">
        <is>
          <t>Z900</t>
        </is>
      </c>
      <c r="D141" s="2" t="inlineStr">
        <is>
          <t>Standard</t>
        </is>
      </c>
      <c r="E141" s="2" t="inlineStr">
        <is>
          <t>Naked/Street</t>
        </is>
      </c>
      <c r="F141" s="2" t="inlineStr">
        <is>
          <t>Premium/Performance ICE</t>
        </is>
      </c>
      <c r="G141" s="2">
        <f>IF(COUNTIFS(videos!$A:$A,A141,videos!$C:$C,"&lt;&gt;")&gt;=1,"Yes","No")</f>
        <v/>
      </c>
      <c r="H141" s="2">
        <f>IF(G141="Yes","Done","Not started")</f>
        <v/>
      </c>
    </row>
    <row r="142">
      <c r="A142" s="2" t="inlineStr">
        <is>
          <t>kawasaki_versys_650_standard</t>
        </is>
      </c>
      <c r="B142" s="2" t="inlineStr">
        <is>
          <t>Kawasaki</t>
        </is>
      </c>
      <c r="C142" s="2" t="inlineStr">
        <is>
          <t>Versys 650</t>
        </is>
      </c>
      <c r="D142" s="2" t="inlineStr">
        <is>
          <t>Standard</t>
        </is>
      </c>
      <c r="E142" s="2" t="inlineStr">
        <is>
          <t>Adventure</t>
        </is>
      </c>
      <c r="F142" s="2" t="inlineStr">
        <is>
          <t>Premium/Performance ICE</t>
        </is>
      </c>
      <c r="G142" s="2">
        <f>IF(COUNTIFS(videos!$A:$A,A142,videos!$C:$C,"&lt;&gt;")&gt;=1,"Yes","No")</f>
        <v/>
      </c>
      <c r="H142" s="2">
        <f>IF(G142="Yes","Done","Not started")</f>
        <v/>
      </c>
    </row>
    <row r="143">
      <c r="A143" s="2" t="inlineStr">
        <is>
          <t>kawasaki_versys_1000_standard</t>
        </is>
      </c>
      <c r="B143" s="2" t="inlineStr">
        <is>
          <t>Kawasaki</t>
        </is>
      </c>
      <c r="C143" s="2" t="inlineStr">
        <is>
          <t>Versys 1000</t>
        </is>
      </c>
      <c r="D143" s="2" t="inlineStr">
        <is>
          <t>Standard</t>
        </is>
      </c>
      <c r="E143" s="2" t="inlineStr">
        <is>
          <t>Adventure</t>
        </is>
      </c>
      <c r="F143" s="2" t="inlineStr">
        <is>
          <t>Premium/Performance ICE</t>
        </is>
      </c>
      <c r="G143" s="2">
        <f>IF(COUNTIFS(videos!$A:$A,A143,videos!$C:$C,"&lt;&gt;")&gt;=1,"Yes","No")</f>
        <v/>
      </c>
      <c r="H143" s="2">
        <f>IF(G143="Yes","Done","Not started")</f>
        <v/>
      </c>
    </row>
    <row r="144">
      <c r="A144" s="2" t="inlineStr">
        <is>
          <t>kawasaki_eliminator_500_standard</t>
        </is>
      </c>
      <c r="B144" s="2" t="inlineStr">
        <is>
          <t>Kawasaki</t>
        </is>
      </c>
      <c r="C144" s="2" t="inlineStr">
        <is>
          <t>Eliminator 500</t>
        </is>
      </c>
      <c r="D144" s="2" t="inlineStr">
        <is>
          <t>Standard</t>
        </is>
      </c>
      <c r="E144" s="2" t="inlineStr">
        <is>
          <t>Cruiser</t>
        </is>
      </c>
      <c r="F144" s="2" t="inlineStr">
        <is>
          <t>Premium/Performance ICE</t>
        </is>
      </c>
      <c r="G144" s="2">
        <f>IF(COUNTIFS(videos!$A:$A,A144,videos!$C:$C,"&lt;&gt;")&gt;=1,"Yes","No")</f>
        <v/>
      </c>
      <c r="H144" s="2">
        <f>IF(G144="Yes","Done","Not started")</f>
        <v/>
      </c>
    </row>
    <row r="145">
      <c r="A145" s="2" t="inlineStr">
        <is>
          <t>ktm_duke_125_standard</t>
        </is>
      </c>
      <c r="B145" s="2" t="inlineStr">
        <is>
          <t>KTM</t>
        </is>
      </c>
      <c r="C145" s="2" t="inlineStr">
        <is>
          <t>Duke 125</t>
        </is>
      </c>
      <c r="D145" s="2" t="inlineStr">
        <is>
          <t>Standard</t>
        </is>
      </c>
      <c r="E145" s="2" t="inlineStr">
        <is>
          <t>Naked/Street</t>
        </is>
      </c>
      <c r="F145" s="2" t="inlineStr">
        <is>
          <t>Premium/Performance ICE</t>
        </is>
      </c>
      <c r="G145" s="2">
        <f>IF(COUNTIFS(videos!$A:$A,A145,videos!$C:$C,"&lt;&gt;")&gt;=1,"Yes","No")</f>
        <v/>
      </c>
      <c r="H145" s="2">
        <f>IF(G145="Yes","Done","Not started")</f>
        <v/>
      </c>
    </row>
    <row r="146">
      <c r="A146" s="2" t="inlineStr">
        <is>
          <t>ktm_duke_200_standard</t>
        </is>
      </c>
      <c r="B146" s="2" t="inlineStr">
        <is>
          <t>KTM</t>
        </is>
      </c>
      <c r="C146" s="2" t="inlineStr">
        <is>
          <t>Duke 200</t>
        </is>
      </c>
      <c r="D146" s="2" t="inlineStr">
        <is>
          <t>Standard</t>
        </is>
      </c>
      <c r="E146" s="2" t="inlineStr">
        <is>
          <t>Naked/Street</t>
        </is>
      </c>
      <c r="F146" s="2" t="inlineStr">
        <is>
          <t>Premium/Performance ICE</t>
        </is>
      </c>
      <c r="G146" s="2">
        <f>IF(COUNTIFS(videos!$A:$A,A146,videos!$C:$C,"&lt;&gt;")&gt;=1,"Yes","No")</f>
        <v/>
      </c>
      <c r="H146" s="2">
        <f>IF(G146="Yes","Done","Not started")</f>
        <v/>
      </c>
    </row>
    <row r="147">
      <c r="A147" s="2" t="inlineStr">
        <is>
          <t>ktm_duke_250_standard</t>
        </is>
      </c>
      <c r="B147" s="2" t="inlineStr">
        <is>
          <t>KTM</t>
        </is>
      </c>
      <c r="C147" s="2" t="inlineStr">
        <is>
          <t>Duke 250</t>
        </is>
      </c>
      <c r="D147" s="2" t="inlineStr">
        <is>
          <t>Standard</t>
        </is>
      </c>
      <c r="E147" s="2" t="inlineStr">
        <is>
          <t>Naked/Street</t>
        </is>
      </c>
      <c r="F147" s="2" t="inlineStr">
        <is>
          <t>Premium/Performance ICE</t>
        </is>
      </c>
      <c r="G147" s="2">
        <f>IF(COUNTIFS(videos!$A:$A,A147,videos!$C:$C,"&lt;&gt;")&gt;=1,"Yes","No")</f>
        <v/>
      </c>
      <c r="H147" s="2">
        <f>IF(G147="Yes","Done","Not started")</f>
        <v/>
      </c>
    </row>
    <row r="148">
      <c r="A148" s="2" t="inlineStr">
        <is>
          <t>ktm_duke_390_standard</t>
        </is>
      </c>
      <c r="B148" s="2" t="inlineStr">
        <is>
          <t>KTM</t>
        </is>
      </c>
      <c r="C148" s="2" t="inlineStr">
        <is>
          <t>Duke 390</t>
        </is>
      </c>
      <c r="D148" s="2" t="inlineStr">
        <is>
          <t>Standard</t>
        </is>
      </c>
      <c r="E148" s="2" t="inlineStr">
        <is>
          <t>Naked/Street</t>
        </is>
      </c>
      <c r="F148" s="2" t="inlineStr">
        <is>
          <t>Premium/Performance ICE</t>
        </is>
      </c>
      <c r="G148" s="2">
        <f>IF(COUNTIFS(videos!$A:$A,A148,videos!$C:$C,"&lt;&gt;")&gt;=1,"Yes","No")</f>
        <v/>
      </c>
      <c r="H148" s="2">
        <f>IF(G148="Yes","Done","Not started")</f>
        <v/>
      </c>
    </row>
    <row r="149">
      <c r="A149" s="2" t="inlineStr">
        <is>
          <t>ktm_rc_125_standard</t>
        </is>
      </c>
      <c r="B149" s="2" t="inlineStr">
        <is>
          <t>KTM</t>
        </is>
      </c>
      <c r="C149" s="2" t="inlineStr">
        <is>
          <t>RC 125</t>
        </is>
      </c>
      <c r="D149" s="2" t="inlineStr">
        <is>
          <t>Standard</t>
        </is>
      </c>
      <c r="E149" s="2" t="inlineStr">
        <is>
          <t>Sport</t>
        </is>
      </c>
      <c r="F149" s="2" t="inlineStr">
        <is>
          <t>Premium/Performance ICE</t>
        </is>
      </c>
      <c r="G149" s="2">
        <f>IF(COUNTIFS(videos!$A:$A,A149,videos!$C:$C,"&lt;&gt;")&gt;=1,"Yes","No")</f>
        <v/>
      </c>
      <c r="H149" s="2">
        <f>IF(G149="Yes","Done","Not started")</f>
        <v/>
      </c>
    </row>
    <row r="150">
      <c r="A150" s="2" t="inlineStr">
        <is>
          <t>ktm_rc_200_standard</t>
        </is>
      </c>
      <c r="B150" s="2" t="inlineStr">
        <is>
          <t>KTM</t>
        </is>
      </c>
      <c r="C150" s="2" t="inlineStr">
        <is>
          <t>RC 200</t>
        </is>
      </c>
      <c r="D150" s="2" t="inlineStr">
        <is>
          <t>Standard</t>
        </is>
      </c>
      <c r="E150" s="2" t="inlineStr">
        <is>
          <t>Sport</t>
        </is>
      </c>
      <c r="F150" s="2" t="inlineStr">
        <is>
          <t>Premium/Performance ICE</t>
        </is>
      </c>
      <c r="G150" s="2">
        <f>IF(COUNTIFS(videos!$A:$A,A150,videos!$C:$C,"&lt;&gt;")&gt;=1,"Yes","No")</f>
        <v/>
      </c>
      <c r="H150" s="2">
        <f>IF(G150="Yes","Done","Not started")</f>
        <v/>
      </c>
    </row>
    <row r="151">
      <c r="A151" s="2" t="inlineStr">
        <is>
          <t>ktm_rc_390_standard</t>
        </is>
      </c>
      <c r="B151" s="2" t="inlineStr">
        <is>
          <t>KTM</t>
        </is>
      </c>
      <c r="C151" s="2" t="inlineStr">
        <is>
          <t>RC 390</t>
        </is>
      </c>
      <c r="D151" s="2" t="inlineStr">
        <is>
          <t>Standard</t>
        </is>
      </c>
      <c r="E151" s="2" t="inlineStr">
        <is>
          <t>Sport</t>
        </is>
      </c>
      <c r="F151" s="2" t="inlineStr">
        <is>
          <t>Premium/Performance ICE</t>
        </is>
      </c>
      <c r="G151" s="2">
        <f>IF(COUNTIFS(videos!$A:$A,A151,videos!$C:$C,"&lt;&gt;")&gt;=1,"Yes","No")</f>
        <v/>
      </c>
      <c r="H151" s="2">
        <f>IF(G151="Yes","Done","Not started")</f>
        <v/>
      </c>
    </row>
    <row r="152">
      <c r="A152" s="2" t="inlineStr">
        <is>
          <t>ktm_adventure_250_standard</t>
        </is>
      </c>
      <c r="B152" s="2" t="inlineStr">
        <is>
          <t>KTM</t>
        </is>
      </c>
      <c r="C152" s="2" t="inlineStr">
        <is>
          <t>Adventure 250</t>
        </is>
      </c>
      <c r="D152" s="2" t="inlineStr">
        <is>
          <t>Standard</t>
        </is>
      </c>
      <c r="E152" s="2" t="inlineStr">
        <is>
          <t>Adventure</t>
        </is>
      </c>
      <c r="F152" s="2" t="inlineStr">
        <is>
          <t>Premium/Performance ICE</t>
        </is>
      </c>
      <c r="G152" s="2">
        <f>IF(COUNTIFS(videos!$A:$A,A152,videos!$C:$C,"&lt;&gt;")&gt;=1,"Yes","No")</f>
        <v/>
      </c>
      <c r="H152" s="2">
        <f>IF(G152="Yes","Done","Not started")</f>
        <v/>
      </c>
    </row>
    <row r="153">
      <c r="A153" s="2" t="inlineStr">
        <is>
          <t>ktm_adventure_390_standard</t>
        </is>
      </c>
      <c r="B153" s="2" t="inlineStr">
        <is>
          <t>KTM</t>
        </is>
      </c>
      <c r="C153" s="2" t="inlineStr">
        <is>
          <t>Adventure 390</t>
        </is>
      </c>
      <c r="D153" s="2" t="inlineStr">
        <is>
          <t>Standard</t>
        </is>
      </c>
      <c r="E153" s="2" t="inlineStr">
        <is>
          <t>Adventure</t>
        </is>
      </c>
      <c r="F153" s="2" t="inlineStr">
        <is>
          <t>Premium/Performance ICE</t>
        </is>
      </c>
      <c r="G153" s="2">
        <f>IF(COUNTIFS(videos!$A:$A,A153,videos!$C:$C,"&lt;&gt;")&gt;=1,"Yes","No")</f>
        <v/>
      </c>
      <c r="H153" s="2">
        <f>IF(G153="Yes","Done","Not started")</f>
        <v/>
      </c>
    </row>
    <row r="154">
      <c r="A154" s="2" t="inlineStr">
        <is>
          <t>ktm_adventure_390_x_standard</t>
        </is>
      </c>
      <c r="B154" s="2" t="inlineStr">
        <is>
          <t>KTM</t>
        </is>
      </c>
      <c r="C154" s="2" t="inlineStr">
        <is>
          <t>Adventure 390 X</t>
        </is>
      </c>
      <c r="D154" s="2" t="inlineStr">
        <is>
          <t>Standard</t>
        </is>
      </c>
      <c r="E154" s="2" t="inlineStr">
        <is>
          <t>Adventure</t>
        </is>
      </c>
      <c r="F154" s="2" t="inlineStr">
        <is>
          <t>Premium/Performance ICE</t>
        </is>
      </c>
      <c r="G154" s="2">
        <f>IF(COUNTIFS(videos!$A:$A,A154,videos!$C:$C,"&lt;&gt;")&gt;=1,"Yes","No")</f>
        <v/>
      </c>
      <c r="H154" s="2">
        <f>IF(G154="Yes","Done","Not started")</f>
        <v/>
      </c>
    </row>
    <row r="155">
      <c r="A155" s="2" t="inlineStr">
        <is>
          <t>ktm_890_duke_r_standard</t>
        </is>
      </c>
      <c r="B155" s="2" t="inlineStr">
        <is>
          <t>KTM</t>
        </is>
      </c>
      <c r="C155" s="2" t="inlineStr">
        <is>
          <t>890 Duke R</t>
        </is>
      </c>
      <c r="D155" s="2" t="inlineStr">
        <is>
          <t>Standard</t>
        </is>
      </c>
      <c r="E155" s="2" t="inlineStr">
        <is>
          <t>Naked/Street</t>
        </is>
      </c>
      <c r="F155" s="2" t="inlineStr">
        <is>
          <t>Premium/Performance ICE</t>
        </is>
      </c>
      <c r="G155" s="2">
        <f>IF(COUNTIFS(videos!$A:$A,A155,videos!$C:$C,"&lt;&gt;")&gt;=1,"Yes","No")</f>
        <v/>
      </c>
      <c r="H155" s="2">
        <f>IF(G155="Yes","Done","Not started")</f>
        <v/>
      </c>
    </row>
    <row r="156">
      <c r="A156" s="2" t="inlineStr">
        <is>
          <t>ktm_1290_super_duke_r_standard</t>
        </is>
      </c>
      <c r="B156" s="2" t="inlineStr">
        <is>
          <t>KTM</t>
        </is>
      </c>
      <c r="C156" s="2" t="inlineStr">
        <is>
          <t>1290 Super Duke R</t>
        </is>
      </c>
      <c r="D156" s="2" t="inlineStr">
        <is>
          <t>Standard</t>
        </is>
      </c>
      <c r="E156" s="2" t="inlineStr">
        <is>
          <t>Naked/Street</t>
        </is>
      </c>
      <c r="F156" s="2" t="inlineStr">
        <is>
          <t>Premium/Performance ICE</t>
        </is>
      </c>
      <c r="G156" s="2">
        <f>IF(COUNTIFS(videos!$A:$A,A156,videos!$C:$C,"&lt;&gt;")&gt;=1,"Yes","No")</f>
        <v/>
      </c>
      <c r="H156" s="2">
        <f>IF(G156="Yes","Done","Not started")</f>
        <v/>
      </c>
    </row>
    <row r="157">
      <c r="A157" s="2" t="inlineStr">
        <is>
          <t>ktm_890_adventure_r_standard</t>
        </is>
      </c>
      <c r="B157" s="2" t="inlineStr">
        <is>
          <t>KTM</t>
        </is>
      </c>
      <c r="C157" s="2" t="inlineStr">
        <is>
          <t>890 Adventure R</t>
        </is>
      </c>
      <c r="D157" s="2" t="inlineStr">
        <is>
          <t>Standard</t>
        </is>
      </c>
      <c r="E157" s="2" t="inlineStr">
        <is>
          <t>Adventure</t>
        </is>
      </c>
      <c r="F157" s="2" t="inlineStr">
        <is>
          <t>Premium/Performance ICE</t>
        </is>
      </c>
      <c r="G157" s="2">
        <f>IF(COUNTIFS(videos!$A:$A,A157,videos!$C:$C,"&lt;&gt;")&gt;=1,"Yes","No")</f>
        <v/>
      </c>
      <c r="H157" s="2">
        <f>IF(G157="Yes","Done","Not started")</f>
        <v/>
      </c>
    </row>
    <row r="158">
      <c r="A158" s="2" t="inlineStr">
        <is>
          <t>moto_guzzi_v7_stone</t>
        </is>
      </c>
      <c r="B158" s="2" t="inlineStr">
        <is>
          <t>Moto Guzzi</t>
        </is>
      </c>
      <c r="C158" s="2" t="inlineStr">
        <is>
          <t>V7</t>
        </is>
      </c>
      <c r="D158" s="2" t="inlineStr">
        <is>
          <t>Stone</t>
        </is>
      </c>
      <c r="E158" s="2" t="inlineStr">
        <is>
          <t>Naked/Street</t>
        </is>
      </c>
      <c r="F158" s="2" t="inlineStr">
        <is>
          <t>Premium/Performance ICE</t>
        </is>
      </c>
      <c r="G158" s="2">
        <f>IF(COUNTIFS(videos!$A:$A,A158,videos!$C:$C,"&lt;&gt;")&gt;=1,"Yes","No")</f>
        <v/>
      </c>
      <c r="H158" s="2">
        <f>IF(G158="Yes","Done","Not started")</f>
        <v/>
      </c>
    </row>
    <row r="159">
      <c r="A159" s="2" t="inlineStr">
        <is>
          <t>moto_guzzi_v85_tt_standard</t>
        </is>
      </c>
      <c r="B159" s="2" t="inlineStr">
        <is>
          <t>Moto Guzzi</t>
        </is>
      </c>
      <c r="C159" s="2" t="inlineStr">
        <is>
          <t>V85 TT</t>
        </is>
      </c>
      <c r="D159" s="2" t="inlineStr">
        <is>
          <t>Standard</t>
        </is>
      </c>
      <c r="E159" s="2" t="inlineStr">
        <is>
          <t>Adventure</t>
        </is>
      </c>
      <c r="F159" s="2" t="inlineStr">
        <is>
          <t>Premium/Performance ICE</t>
        </is>
      </c>
      <c r="G159" s="2">
        <f>IF(COUNTIFS(videos!$A:$A,A159,videos!$C:$C,"&lt;&gt;")&gt;=1,"Yes","No")</f>
        <v/>
      </c>
      <c r="H159" s="2">
        <f>IF(G159="Yes","Done","Not started")</f>
        <v/>
      </c>
    </row>
    <row r="160">
      <c r="A160" s="2" t="inlineStr">
        <is>
          <t>moto_guzzi_v100_mandello_standard</t>
        </is>
      </c>
      <c r="B160" s="2" t="inlineStr">
        <is>
          <t>Moto Guzzi</t>
        </is>
      </c>
      <c r="C160" s="2" t="inlineStr">
        <is>
          <t>V100 Mandello</t>
        </is>
      </c>
      <c r="D160" s="2" t="inlineStr">
        <is>
          <t>Standard</t>
        </is>
      </c>
      <c r="E160" s="2" t="inlineStr">
        <is>
          <t>Tourer</t>
        </is>
      </c>
      <c r="F160" s="2" t="inlineStr">
        <is>
          <t>Premium/Performance ICE</t>
        </is>
      </c>
      <c r="G160" s="2">
        <f>IF(COUNTIFS(videos!$A:$A,A160,videos!$C:$C,"&lt;&gt;")&gt;=1,"Yes","No")</f>
        <v/>
      </c>
      <c r="H160" s="2">
        <f>IF(G160="Yes","Done","Not started")</f>
        <v/>
      </c>
    </row>
    <row r="161">
      <c r="A161" s="2" t="inlineStr">
        <is>
          <t>moto_morini_seiemmezzo_650_retro_street_standard</t>
        </is>
      </c>
      <c r="B161" s="2" t="inlineStr">
        <is>
          <t>Moto Morini</t>
        </is>
      </c>
      <c r="C161" s="2" t="inlineStr">
        <is>
          <t>Seiemmezzo 650 Retro Street</t>
        </is>
      </c>
      <c r="D161" s="2" t="inlineStr">
        <is>
          <t>Standard</t>
        </is>
      </c>
      <c r="E161" s="2" t="inlineStr">
        <is>
          <t>Naked/Street</t>
        </is>
      </c>
      <c r="F161" s="2" t="inlineStr">
        <is>
          <t>Premium/Performance ICE</t>
        </is>
      </c>
      <c r="G161" s="2">
        <f>IF(COUNTIFS(videos!$A:$A,A161,videos!$C:$C,"&lt;&gt;")&gt;=1,"Yes","No")</f>
        <v/>
      </c>
      <c r="H161" s="2">
        <f>IF(G161="Yes","Done","Not started")</f>
        <v/>
      </c>
    </row>
    <row r="162">
      <c r="A162" s="2" t="inlineStr">
        <is>
          <t>moto_morini_seiemmezzo_650_scrambler_standard</t>
        </is>
      </c>
      <c r="B162" s="2" t="inlineStr">
        <is>
          <t>Moto Morini</t>
        </is>
      </c>
      <c r="C162" s="2" t="inlineStr">
        <is>
          <t>Seiemmezzo 650 Scrambler</t>
        </is>
      </c>
      <c r="D162" s="2" t="inlineStr">
        <is>
          <t>Standard</t>
        </is>
      </c>
      <c r="E162" s="2" t="inlineStr">
        <is>
          <t>Naked/Street</t>
        </is>
      </c>
      <c r="F162" s="2" t="inlineStr">
        <is>
          <t>Premium/Performance ICE</t>
        </is>
      </c>
      <c r="G162" s="2">
        <f>IF(COUNTIFS(videos!$A:$A,A162,videos!$C:$C,"&lt;&gt;")&gt;=1,"Yes","No")</f>
        <v/>
      </c>
      <c r="H162" s="2">
        <f>IF(G162="Yes","Done","Not started")</f>
        <v/>
      </c>
    </row>
    <row r="163">
      <c r="A163" s="2" t="inlineStr">
        <is>
          <t>moto_morini_x_cape_650_standard</t>
        </is>
      </c>
      <c r="B163" s="2" t="inlineStr">
        <is>
          <t>Moto Morini</t>
        </is>
      </c>
      <c r="C163" s="2" t="inlineStr">
        <is>
          <t>X-Cape 650</t>
        </is>
      </c>
      <c r="D163" s="2" t="inlineStr">
        <is>
          <t>Standard</t>
        </is>
      </c>
      <c r="E163" s="2" t="inlineStr">
        <is>
          <t>Adventure</t>
        </is>
      </c>
      <c r="F163" s="2" t="inlineStr">
        <is>
          <t>Premium/Performance ICE</t>
        </is>
      </c>
      <c r="G163" s="2">
        <f>IF(COUNTIFS(videos!$A:$A,A163,videos!$C:$C,"&lt;&gt;")&gt;=1,"Yes","No")</f>
        <v/>
      </c>
      <c r="H163" s="2">
        <f>IF(G163="Yes","Done","Not started")</f>
        <v/>
      </c>
    </row>
    <row r="164">
      <c r="A164" s="2" t="inlineStr">
        <is>
          <t>moto_morini_x_cape_650x_standard</t>
        </is>
      </c>
      <c r="B164" s="2" t="inlineStr">
        <is>
          <t>Moto Morini</t>
        </is>
      </c>
      <c r="C164" s="2" t="inlineStr">
        <is>
          <t>X-Cape 650X</t>
        </is>
      </c>
      <c r="D164" s="2" t="inlineStr">
        <is>
          <t>Standard</t>
        </is>
      </c>
      <c r="E164" s="2" t="inlineStr">
        <is>
          <t>Adventure</t>
        </is>
      </c>
      <c r="F164" s="2" t="inlineStr">
        <is>
          <t>Premium/Performance ICE</t>
        </is>
      </c>
      <c r="G164" s="2">
        <f>IF(COUNTIFS(videos!$A:$A,A164,videos!$C:$C,"&lt;&gt;")&gt;=1,"Yes","No")</f>
        <v/>
      </c>
      <c r="H164" s="2">
        <f>IF(G164="Yes","Done","Not started")</f>
        <v/>
      </c>
    </row>
    <row r="165">
      <c r="A165" s="2" t="inlineStr">
        <is>
          <t>qj_motor_src_250_standard</t>
        </is>
      </c>
      <c r="B165" s="2" t="inlineStr">
        <is>
          <t>QJ Motor</t>
        </is>
      </c>
      <c r="C165" s="2" t="inlineStr">
        <is>
          <t>SRC 250</t>
        </is>
      </c>
      <c r="D165" s="2" t="inlineStr">
        <is>
          <t>Standard</t>
        </is>
      </c>
      <c r="E165" s="2" t="inlineStr">
        <is>
          <t>Cruiser</t>
        </is>
      </c>
      <c r="F165" s="2" t="inlineStr">
        <is>
          <t>Premium/Performance ICE</t>
        </is>
      </c>
      <c r="G165" s="2">
        <f>IF(COUNTIFS(videos!$A:$A,A165,videos!$C:$C,"&lt;&gt;")&gt;=1,"Yes","No")</f>
        <v/>
      </c>
      <c r="H165" s="2">
        <f>IF(G165="Yes","Done","Not started")</f>
        <v/>
      </c>
    </row>
    <row r="166">
      <c r="A166" s="2" t="inlineStr">
        <is>
          <t>qj_motor_src_500_standard</t>
        </is>
      </c>
      <c r="B166" s="2" t="inlineStr">
        <is>
          <t>QJ Motor</t>
        </is>
      </c>
      <c r="C166" s="2" t="inlineStr">
        <is>
          <t>SRC 500</t>
        </is>
      </c>
      <c r="D166" s="2" t="inlineStr">
        <is>
          <t>Standard</t>
        </is>
      </c>
      <c r="E166" s="2" t="inlineStr">
        <is>
          <t>Cruiser</t>
        </is>
      </c>
      <c r="F166" s="2" t="inlineStr">
        <is>
          <t>Premium/Performance ICE</t>
        </is>
      </c>
      <c r="G166" s="2">
        <f>IF(COUNTIFS(videos!$A:$A,A166,videos!$C:$C,"&lt;&gt;")&gt;=1,"Yes","No")</f>
        <v/>
      </c>
      <c r="H166" s="2">
        <f>IF(G166="Yes","Done","Not started")</f>
        <v/>
      </c>
    </row>
    <row r="167">
      <c r="A167" s="2" t="inlineStr">
        <is>
          <t>qj_motor_srv_300_standard</t>
        </is>
      </c>
      <c r="B167" s="2" t="inlineStr">
        <is>
          <t>QJ Motor</t>
        </is>
      </c>
      <c r="C167" s="2" t="inlineStr">
        <is>
          <t>SRV 300</t>
        </is>
      </c>
      <c r="D167" s="2" t="inlineStr">
        <is>
          <t>Standard</t>
        </is>
      </c>
      <c r="E167" s="2" t="inlineStr">
        <is>
          <t>Adventure</t>
        </is>
      </c>
      <c r="F167" s="2" t="inlineStr">
        <is>
          <t>Premium/Performance ICE</t>
        </is>
      </c>
      <c r="G167" s="2">
        <f>IF(COUNTIFS(videos!$A:$A,A167,videos!$C:$C,"&lt;&gt;")&gt;=1,"Yes","No")</f>
        <v/>
      </c>
      <c r="H167" s="2">
        <f>IF(G167="Yes","Done","Not started")</f>
        <v/>
      </c>
    </row>
    <row r="168">
      <c r="A168" s="2" t="inlineStr">
        <is>
          <t>qj_motor_srk_400_white</t>
        </is>
      </c>
      <c r="B168" s="2" t="inlineStr">
        <is>
          <t>QJ Motor</t>
        </is>
      </c>
      <c r="C168" s="2" t="inlineStr">
        <is>
          <t>SRK 400</t>
        </is>
      </c>
      <c r="D168" s="2" t="inlineStr">
        <is>
          <t>White</t>
        </is>
      </c>
      <c r="E168" s="2" t="inlineStr">
        <is>
          <t>Naked/Street</t>
        </is>
      </c>
      <c r="F168" s="2" t="inlineStr">
        <is>
          <t>Premium/Performance ICE</t>
        </is>
      </c>
      <c r="G168" s="2">
        <f>IF(COUNTIFS(videos!$A:$A,A168,videos!$C:$C,"&lt;&gt;")&gt;=1,"Yes","No")</f>
        <v/>
      </c>
      <c r="H168" s="2">
        <f>IF(G168="Yes","Done","Not started")</f>
        <v/>
      </c>
    </row>
    <row r="169">
      <c r="A169" s="2" t="inlineStr">
        <is>
          <t>royal_enfield_hunter_350_retro_factory</t>
        </is>
      </c>
      <c r="B169" s="2" t="inlineStr">
        <is>
          <t>Royal Enfield</t>
        </is>
      </c>
      <c r="C169" s="2" t="inlineStr">
        <is>
          <t>Hunter 350</t>
        </is>
      </c>
      <c r="D169" s="2" t="inlineStr">
        <is>
          <t>Retro Factory</t>
        </is>
      </c>
      <c r="E169" s="2" t="inlineStr">
        <is>
          <t>Naked/Street</t>
        </is>
      </c>
      <c r="F169" s="2" t="inlineStr">
        <is>
          <t>Retro/Lifestyle ICE</t>
        </is>
      </c>
      <c r="G169" s="2">
        <f>IF(COUNTIFS(videos!$A:$A,A169,videos!$C:$C,"&lt;&gt;")&gt;=1,"Yes","No")</f>
        <v/>
      </c>
      <c r="H169" s="2">
        <f>IF(G169="Yes","Done","Not started")</f>
        <v/>
      </c>
    </row>
    <row r="170">
      <c r="A170" s="2" t="inlineStr">
        <is>
          <t>royal_enfield_bullet_350_military_red</t>
        </is>
      </c>
      <c r="B170" s="2" t="inlineStr">
        <is>
          <t>Royal Enfield</t>
        </is>
      </c>
      <c r="C170" s="2" t="inlineStr">
        <is>
          <t>Bullet 350</t>
        </is>
      </c>
      <c r="D170" s="2" t="inlineStr">
        <is>
          <t>Military Red</t>
        </is>
      </c>
      <c r="E170" s="2" t="inlineStr">
        <is>
          <t>Cruiser</t>
        </is>
      </c>
      <c r="F170" s="2" t="inlineStr">
        <is>
          <t>Retro/Lifestyle ICE</t>
        </is>
      </c>
      <c r="G170" s="2">
        <f>IF(COUNTIFS(videos!$A:$A,A170,videos!$C:$C,"&lt;&gt;")&gt;=1,"Yes","No")</f>
        <v/>
      </c>
      <c r="H170" s="2">
        <f>IF(G170="Yes","Done","Not started")</f>
        <v/>
      </c>
    </row>
    <row r="171">
      <c r="A171" s="2" t="inlineStr">
        <is>
          <t>royal_enfield_classic_350_heritage</t>
        </is>
      </c>
      <c r="B171" s="2" t="inlineStr">
        <is>
          <t>Royal Enfield</t>
        </is>
      </c>
      <c r="C171" s="2" t="inlineStr">
        <is>
          <t>Classic 350</t>
        </is>
      </c>
      <c r="D171" s="2" t="inlineStr">
        <is>
          <t>Heritage</t>
        </is>
      </c>
      <c r="E171" s="2" t="inlineStr">
        <is>
          <t>Cruiser</t>
        </is>
      </c>
      <c r="F171" s="2" t="inlineStr">
        <is>
          <t>Retro/Lifestyle ICE</t>
        </is>
      </c>
      <c r="G171" s="2">
        <f>IF(COUNTIFS(videos!$A:$A,A171,videos!$C:$C,"&lt;&gt;")&gt;=1,"Yes","No")</f>
        <v/>
      </c>
      <c r="H171" s="2">
        <f>IF(G171="Yes","Done","Not started")</f>
        <v/>
      </c>
    </row>
    <row r="172">
      <c r="A172" s="2" t="inlineStr">
        <is>
          <t>royal_enfield_meteor_350_fireball</t>
        </is>
      </c>
      <c r="B172" s="2" t="inlineStr">
        <is>
          <t>Royal Enfield</t>
        </is>
      </c>
      <c r="C172" s="2" t="inlineStr">
        <is>
          <t>Meteor 350</t>
        </is>
      </c>
      <c r="D172" s="2" t="inlineStr">
        <is>
          <t>Fireball</t>
        </is>
      </c>
      <c r="E172" s="2" t="inlineStr">
        <is>
          <t>Cruiser</t>
        </is>
      </c>
      <c r="F172" s="2" t="inlineStr">
        <is>
          <t>Retro/Lifestyle ICE</t>
        </is>
      </c>
      <c r="G172" s="2">
        <f>IF(COUNTIFS(videos!$A:$A,A172,videos!$C:$C,"&lt;&gt;")&gt;=1,"Yes","No")</f>
        <v/>
      </c>
      <c r="H172" s="2">
        <f>IF(G172="Yes","Done","Not started")</f>
        <v/>
      </c>
    </row>
    <row r="173">
      <c r="A173" s="2" t="inlineStr">
        <is>
          <t>royal_enfield_goan_classic_350_standard</t>
        </is>
      </c>
      <c r="B173" s="2" t="inlineStr">
        <is>
          <t>Royal Enfield</t>
        </is>
      </c>
      <c r="C173" s="2" t="inlineStr">
        <is>
          <t>Goan Classic 350</t>
        </is>
      </c>
      <c r="D173" s="2" t="inlineStr">
        <is>
          <t>Standard</t>
        </is>
      </c>
      <c r="E173" s="2" t="inlineStr">
        <is>
          <t>Cruiser</t>
        </is>
      </c>
      <c r="F173" s="2" t="inlineStr">
        <is>
          <t>Retro/Lifestyle ICE</t>
        </is>
      </c>
      <c r="G173" s="2">
        <f>IF(COUNTIFS(videos!$A:$A,A173,videos!$C:$C,"&lt;&gt;")&gt;=1,"Yes","No")</f>
        <v/>
      </c>
      <c r="H173" s="2">
        <f>IF(G173="Yes","Done","Not started")</f>
        <v/>
      </c>
    </row>
    <row r="174">
      <c r="A174" s="2" t="inlineStr">
        <is>
          <t>royal_enfield_scram_440_standard</t>
        </is>
      </c>
      <c r="B174" s="2" t="inlineStr">
        <is>
          <t>Royal Enfield</t>
        </is>
      </c>
      <c r="C174" s="2" t="inlineStr">
        <is>
          <t>Scram 440</t>
        </is>
      </c>
      <c r="D174" s="2" t="inlineStr">
        <is>
          <t>Standard</t>
        </is>
      </c>
      <c r="E174" s="2" t="inlineStr">
        <is>
          <t>Naked/Street</t>
        </is>
      </c>
      <c r="F174" s="2" t="inlineStr">
        <is>
          <t>Retro/Lifestyle ICE</t>
        </is>
      </c>
      <c r="G174" s="2">
        <f>IF(COUNTIFS(videos!$A:$A,A174,videos!$C:$C,"&lt;&gt;")&gt;=1,"Yes","No")</f>
        <v/>
      </c>
      <c r="H174" s="2">
        <f>IF(G174="Yes","Done","Not started")</f>
        <v/>
      </c>
    </row>
    <row r="175">
      <c r="A175" s="2" t="inlineStr">
        <is>
          <t>royal_enfield_guerrilla_450_analogue</t>
        </is>
      </c>
      <c r="B175" s="2" t="inlineStr">
        <is>
          <t>Royal Enfield</t>
        </is>
      </c>
      <c r="C175" s="2" t="inlineStr">
        <is>
          <t>Guerrilla 450</t>
        </is>
      </c>
      <c r="D175" s="2" t="inlineStr">
        <is>
          <t>Analogue</t>
        </is>
      </c>
      <c r="E175" s="2" t="inlineStr">
        <is>
          <t>Naked/Street</t>
        </is>
      </c>
      <c r="F175" s="2" t="inlineStr">
        <is>
          <t>Premium/Performance ICE</t>
        </is>
      </c>
      <c r="G175" s="2">
        <f>IF(COUNTIFS(videos!$A:$A,A175,videos!$C:$C,"&lt;&gt;")&gt;=1,"Yes","No")</f>
        <v/>
      </c>
      <c r="H175" s="2">
        <f>IF(G175="Yes","Done","Not started")</f>
        <v/>
      </c>
    </row>
    <row r="176">
      <c r="A176" s="2" t="inlineStr">
        <is>
          <t>royal_enfield_himalayan_450_base</t>
        </is>
      </c>
      <c r="B176" s="2" t="inlineStr">
        <is>
          <t>Royal Enfield</t>
        </is>
      </c>
      <c r="C176" s="2" t="inlineStr">
        <is>
          <t>Himalayan 450</t>
        </is>
      </c>
      <c r="D176" s="2" t="inlineStr">
        <is>
          <t>Base</t>
        </is>
      </c>
      <c r="E176" s="2" t="inlineStr">
        <is>
          <t>Adventure</t>
        </is>
      </c>
      <c r="F176" s="2" t="inlineStr">
        <is>
          <t>Premium/Performance ICE</t>
        </is>
      </c>
      <c r="G176" s="2">
        <f>IF(COUNTIFS(videos!$A:$A,A176,videos!$C:$C,"&lt;&gt;")&gt;=1,"Yes","No")</f>
        <v/>
      </c>
      <c r="H176" s="2">
        <f>IF(G176="Yes","Done","Not started")</f>
        <v/>
      </c>
    </row>
    <row r="177">
      <c r="A177" s="2" t="inlineStr">
        <is>
          <t>royal_enfield_interceptor_650_canyon_red</t>
        </is>
      </c>
      <c r="B177" s="2" t="inlineStr">
        <is>
          <t>Royal Enfield</t>
        </is>
      </c>
      <c r="C177" s="2" t="inlineStr">
        <is>
          <t>Interceptor 650</t>
        </is>
      </c>
      <c r="D177" s="2" t="inlineStr">
        <is>
          <t>Canyon Red</t>
        </is>
      </c>
      <c r="E177" s="2" t="inlineStr">
        <is>
          <t>Naked/Street</t>
        </is>
      </c>
      <c r="F177" s="2" t="inlineStr">
        <is>
          <t>Retro/Lifestyle ICE</t>
        </is>
      </c>
      <c r="G177" s="2">
        <f>IF(COUNTIFS(videos!$A:$A,A177,videos!$C:$C,"&lt;&gt;")&gt;=1,"Yes","No")</f>
        <v/>
      </c>
      <c r="H177" s="2">
        <f>IF(G177="Yes","Done","Not started")</f>
        <v/>
      </c>
    </row>
    <row r="178">
      <c r="A178" s="2" t="inlineStr">
        <is>
          <t>royal_enfield_continental_gt_650_rocker_red</t>
        </is>
      </c>
      <c r="B178" s="2" t="inlineStr">
        <is>
          <t>Royal Enfield</t>
        </is>
      </c>
      <c r="C178" s="2" t="inlineStr">
        <is>
          <t>Continental GT 650</t>
        </is>
      </c>
      <c r="D178" s="2" t="inlineStr">
        <is>
          <t>Rocker Red</t>
        </is>
      </c>
      <c r="E178" s="2" t="inlineStr">
        <is>
          <t>Cafe Racer</t>
        </is>
      </c>
      <c r="F178" s="2" t="inlineStr">
        <is>
          <t>Retro/Lifestyle ICE</t>
        </is>
      </c>
      <c r="G178" s="2">
        <f>IF(COUNTIFS(videos!$A:$A,A178,videos!$C:$C,"&lt;&gt;")&gt;=1,"Yes","No")</f>
        <v/>
      </c>
      <c r="H178" s="2">
        <f>IF(G178="Yes","Done","Not started")</f>
        <v/>
      </c>
    </row>
    <row r="179">
      <c r="A179" s="2" t="inlineStr">
        <is>
          <t>royal_enfield_classic_650_standard</t>
        </is>
      </c>
      <c r="B179" s="2" t="inlineStr">
        <is>
          <t>Royal Enfield</t>
        </is>
      </c>
      <c r="C179" s="2" t="inlineStr">
        <is>
          <t>Classic 650</t>
        </is>
      </c>
      <c r="D179" s="2" t="inlineStr">
        <is>
          <t>Standard</t>
        </is>
      </c>
      <c r="E179" s="2" t="inlineStr">
        <is>
          <t>Cruiser</t>
        </is>
      </c>
      <c r="F179" s="2" t="inlineStr">
        <is>
          <t>Retro/Lifestyle ICE</t>
        </is>
      </c>
      <c r="G179" s="2">
        <f>IF(COUNTIFS(videos!$A:$A,A179,videos!$C:$C,"&lt;&gt;")&gt;=1,"Yes","No")</f>
        <v/>
      </c>
      <c r="H179" s="2">
        <f>IF(G179="Yes","Done","Not started")</f>
        <v/>
      </c>
    </row>
    <row r="180">
      <c r="A180" s="2" t="inlineStr">
        <is>
          <t>royal_enfield_bullet_650_standard</t>
        </is>
      </c>
      <c r="B180" s="2" t="inlineStr">
        <is>
          <t>Royal Enfield</t>
        </is>
      </c>
      <c r="C180" s="2" t="inlineStr">
        <is>
          <t>Bullet 650</t>
        </is>
      </c>
      <c r="D180" s="2" t="inlineStr">
        <is>
          <t>Standard</t>
        </is>
      </c>
      <c r="E180" s="2" t="inlineStr">
        <is>
          <t>Cruiser</t>
        </is>
      </c>
      <c r="F180" s="2" t="inlineStr">
        <is>
          <t>Retro/Lifestyle ICE</t>
        </is>
      </c>
      <c r="G180" s="2">
        <f>IF(COUNTIFS(videos!$A:$A,A180,videos!$C:$C,"&lt;&gt;")&gt;=1,"Yes","No")</f>
        <v/>
      </c>
      <c r="H180" s="2">
        <f>IF(G180="Yes","Done","Not started")</f>
        <v/>
      </c>
    </row>
    <row r="181">
      <c r="A181" s="2" t="inlineStr">
        <is>
          <t>royal_enfield_bear_650_boardwalk_white</t>
        </is>
      </c>
      <c r="B181" s="2" t="inlineStr">
        <is>
          <t>Royal Enfield</t>
        </is>
      </c>
      <c r="C181" s="2" t="inlineStr">
        <is>
          <t>Bear 650</t>
        </is>
      </c>
      <c r="D181" s="2" t="inlineStr">
        <is>
          <t>Boardwalk White</t>
        </is>
      </c>
      <c r="E181" s="2" t="inlineStr">
        <is>
          <t>Adventure</t>
        </is>
      </c>
      <c r="F181" s="2" t="inlineStr">
        <is>
          <t>Retro/Lifestyle ICE</t>
        </is>
      </c>
      <c r="G181" s="2">
        <f>IF(COUNTIFS(videos!$A:$A,A181,videos!$C:$C,"&lt;&gt;")&gt;=1,"Yes","No")</f>
        <v/>
      </c>
      <c r="H181" s="2">
        <f>IF(G181="Yes","Done","Not started")</f>
        <v/>
      </c>
    </row>
    <row r="182">
      <c r="A182" s="2" t="inlineStr">
        <is>
          <t>royal_enfield_shotgun_650_base</t>
        </is>
      </c>
      <c r="B182" s="2" t="inlineStr">
        <is>
          <t>Royal Enfield</t>
        </is>
      </c>
      <c r="C182" s="2" t="inlineStr">
        <is>
          <t>Shotgun 650</t>
        </is>
      </c>
      <c r="D182" s="2" t="inlineStr">
        <is>
          <t>Base</t>
        </is>
      </c>
      <c r="E182" s="2" t="inlineStr">
        <is>
          <t>Cruiser</t>
        </is>
      </c>
      <c r="F182" s="2" t="inlineStr">
        <is>
          <t>Retro/Lifestyle ICE</t>
        </is>
      </c>
      <c r="G182" s="2">
        <f>IF(COUNTIFS(videos!$A:$A,A182,videos!$C:$C,"&lt;&gt;")&gt;=1,"Yes","No")</f>
        <v/>
      </c>
      <c r="H182" s="2">
        <f>IF(G182="Yes","Done","Not started")</f>
        <v/>
      </c>
    </row>
    <row r="183">
      <c r="A183" s="2" t="inlineStr">
        <is>
          <t>royal_enfield_super_meteor_650_astral</t>
        </is>
      </c>
      <c r="B183" s="2" t="inlineStr">
        <is>
          <t>Royal Enfield</t>
        </is>
      </c>
      <c r="C183" s="2" t="inlineStr">
        <is>
          <t>Super Meteor 650</t>
        </is>
      </c>
      <c r="D183" s="2" t="inlineStr">
        <is>
          <t>Astral</t>
        </is>
      </c>
      <c r="E183" s="2" t="inlineStr">
        <is>
          <t>Cruiser</t>
        </is>
      </c>
      <c r="F183" s="2" t="inlineStr">
        <is>
          <t>Retro/Lifestyle ICE</t>
        </is>
      </c>
      <c r="G183" s="2">
        <f>IF(COUNTIFS(videos!$A:$A,A183,videos!$C:$C,"&lt;&gt;")&gt;=1,"Yes","No")</f>
        <v/>
      </c>
      <c r="H183" s="2">
        <f>IF(G183="Yes","Done","Not started")</f>
        <v/>
      </c>
    </row>
    <row r="184">
      <c r="A184" s="2" t="inlineStr">
        <is>
          <t>royal_enfield_flying_flea_c6_standard</t>
        </is>
      </c>
      <c r="B184" s="2" t="inlineStr">
        <is>
          <t>Royal Enfield</t>
        </is>
      </c>
      <c r="C184" s="2" t="inlineStr">
        <is>
          <t>Flying Flea C6</t>
        </is>
      </c>
      <c r="D184" s="2" t="inlineStr">
        <is>
          <t>Standard</t>
        </is>
      </c>
      <c r="E184" s="2" t="inlineStr">
        <is>
          <t>Naked/Street</t>
        </is>
      </c>
      <c r="F184" s="2" t="inlineStr">
        <is>
          <t>Electric - Established</t>
        </is>
      </c>
      <c r="G184" s="2">
        <f>IF(COUNTIFS(videos!$A:$A,A184,videos!$C:$C,"&lt;&gt;")&gt;=1,"Yes","No")</f>
        <v/>
      </c>
      <c r="H184" s="2">
        <f>IF(G184="Yes","Done","Not started")</f>
        <v/>
      </c>
    </row>
    <row r="185">
      <c r="A185" s="2" t="inlineStr">
        <is>
          <t>suzuki_gixxer_150_ride_connect_edition</t>
        </is>
      </c>
      <c r="B185" s="2" t="inlineStr">
        <is>
          <t>Suzuki</t>
        </is>
      </c>
      <c r="C185" s="2" t="inlineStr">
        <is>
          <t>Gixxer 150</t>
        </is>
      </c>
      <c r="D185" s="2" t="inlineStr">
        <is>
          <t>Ride Connect Edition</t>
        </is>
      </c>
      <c r="E185" s="2" t="inlineStr">
        <is>
          <t>Commuter</t>
        </is>
      </c>
      <c r="F185" s="2" t="inlineStr">
        <is>
          <t>Mass-market ICE</t>
        </is>
      </c>
      <c r="G185" s="2">
        <f>IF(COUNTIFS(videos!$A:$A,A185,videos!$C:$C,"&lt;&gt;")&gt;=1,"Yes","No")</f>
        <v/>
      </c>
      <c r="H185" s="2">
        <f>IF(G185="Yes","Done","Not started")</f>
        <v/>
      </c>
    </row>
    <row r="186">
      <c r="A186" s="2" t="inlineStr">
        <is>
          <t>suzuki_gixxer_250_ride_connect_edition</t>
        </is>
      </c>
      <c r="B186" s="2" t="inlineStr">
        <is>
          <t>Suzuki</t>
        </is>
      </c>
      <c r="C186" s="2" t="inlineStr">
        <is>
          <t>Gixxer 250</t>
        </is>
      </c>
      <c r="D186" s="2" t="inlineStr">
        <is>
          <t>Ride Connect Edition</t>
        </is>
      </c>
      <c r="E186" s="2" t="inlineStr">
        <is>
          <t>Naked/Street</t>
        </is>
      </c>
      <c r="F186" s="2" t="inlineStr">
        <is>
          <t>Mass-market ICE</t>
        </is>
      </c>
      <c r="G186" s="2">
        <f>IF(COUNTIFS(videos!$A:$A,A186,videos!$C:$C,"&lt;&gt;")&gt;=1,"Yes","No")</f>
        <v/>
      </c>
      <c r="H186" s="2">
        <f>IF(G186="Yes","Done","Not started")</f>
        <v/>
      </c>
    </row>
    <row r="187">
      <c r="A187" s="2" t="inlineStr">
        <is>
          <t>suzuki_gixxer_sf_150_ride_connect_edition</t>
        </is>
      </c>
      <c r="B187" s="2" t="inlineStr">
        <is>
          <t>Suzuki</t>
        </is>
      </c>
      <c r="C187" s="2" t="inlineStr">
        <is>
          <t>Gixxer SF 150</t>
        </is>
      </c>
      <c r="D187" s="2" t="inlineStr">
        <is>
          <t>Ride Connect Edition</t>
        </is>
      </c>
      <c r="E187" s="2" t="inlineStr">
        <is>
          <t>Sport</t>
        </is>
      </c>
      <c r="F187" s="2" t="inlineStr">
        <is>
          <t>Mass-market ICE</t>
        </is>
      </c>
      <c r="G187" s="2">
        <f>IF(COUNTIFS(videos!$A:$A,A187,videos!$C:$C,"&lt;&gt;")&gt;=1,"Yes","No")</f>
        <v/>
      </c>
      <c r="H187" s="2">
        <f>IF(G187="Yes","Done","Not started")</f>
        <v/>
      </c>
    </row>
    <row r="188">
      <c r="A188" s="2" t="inlineStr">
        <is>
          <t>suzuki_gixxer_sf_250_ride_connect_edition</t>
        </is>
      </c>
      <c r="B188" s="2" t="inlineStr">
        <is>
          <t>Suzuki</t>
        </is>
      </c>
      <c r="C188" s="2" t="inlineStr">
        <is>
          <t>Gixxer SF 250</t>
        </is>
      </c>
      <c r="D188" s="2" t="inlineStr">
        <is>
          <t>Ride Connect Edition</t>
        </is>
      </c>
      <c r="E188" s="2" t="inlineStr">
        <is>
          <t>Sport</t>
        </is>
      </c>
      <c r="F188" s="2" t="inlineStr">
        <is>
          <t>Mass-market ICE</t>
        </is>
      </c>
      <c r="G188" s="2">
        <f>IF(COUNTIFS(videos!$A:$A,A188,videos!$C:$C,"&lt;&gt;")&gt;=1,"Yes","No")</f>
        <v/>
      </c>
      <c r="H188" s="2">
        <f>IF(G188="Yes","Done","Not started")</f>
        <v/>
      </c>
    </row>
    <row r="189">
      <c r="A189" s="2" t="inlineStr">
        <is>
          <t>suzuki_v_strom_sx_250_standard</t>
        </is>
      </c>
      <c r="B189" s="2" t="inlineStr">
        <is>
          <t>Suzuki</t>
        </is>
      </c>
      <c r="C189" s="2" t="inlineStr">
        <is>
          <t>V-Strom SX 250</t>
        </is>
      </c>
      <c r="D189" s="2" t="inlineStr">
        <is>
          <t>Standard</t>
        </is>
      </c>
      <c r="E189" s="2" t="inlineStr">
        <is>
          <t>Adventure</t>
        </is>
      </c>
      <c r="F189" s="2" t="inlineStr">
        <is>
          <t>Mass-market ICE</t>
        </is>
      </c>
      <c r="G189" s="2">
        <f>IF(COUNTIFS(videos!$A:$A,A189,videos!$C:$C,"&lt;&gt;")&gt;=1,"Yes","No")</f>
        <v/>
      </c>
      <c r="H189" s="2">
        <f>IF(G189="Yes","Done","Not started")</f>
        <v/>
      </c>
    </row>
    <row r="190">
      <c r="A190" s="2" t="inlineStr">
        <is>
          <t>suzuki_hayabusa_standard</t>
        </is>
      </c>
      <c r="B190" s="2" t="inlineStr">
        <is>
          <t>Suzuki</t>
        </is>
      </c>
      <c r="C190" s="2" t="inlineStr">
        <is>
          <t>Hayabusa</t>
        </is>
      </c>
      <c r="D190" s="2" t="inlineStr">
        <is>
          <t>Standard</t>
        </is>
      </c>
      <c r="E190" s="2" t="inlineStr">
        <is>
          <t>Superbike</t>
        </is>
      </c>
      <c r="F190" s="2" t="inlineStr">
        <is>
          <t>Premium/Performance ICE</t>
        </is>
      </c>
      <c r="G190" s="2">
        <f>IF(COUNTIFS(videos!$A:$A,A190,videos!$C:$C,"&lt;&gt;")&gt;=1,"Yes","No")</f>
        <v/>
      </c>
      <c r="H190" s="2">
        <f>IF(G190="Yes","Done","Not started")</f>
        <v/>
      </c>
    </row>
    <row r="191">
      <c r="A191" s="2" t="inlineStr">
        <is>
          <t>suzuki_v_strom_800de_standard</t>
        </is>
      </c>
      <c r="B191" s="2" t="inlineStr">
        <is>
          <t>Suzuki</t>
        </is>
      </c>
      <c r="C191" s="2" t="inlineStr">
        <is>
          <t>V-Strom 800DE</t>
        </is>
      </c>
      <c r="D191" s="2" t="inlineStr">
        <is>
          <t>Standard</t>
        </is>
      </c>
      <c r="E191" s="2" t="inlineStr">
        <is>
          <t>Adventure</t>
        </is>
      </c>
      <c r="F191" s="2" t="inlineStr">
        <is>
          <t>Premium/Performance ICE</t>
        </is>
      </c>
      <c r="G191" s="2">
        <f>IF(COUNTIFS(videos!$A:$A,A191,videos!$C:$C,"&lt;&gt;")&gt;=1,"Yes","No")</f>
        <v/>
      </c>
      <c r="H191" s="2">
        <f>IF(G191="Yes","Done","Not started")</f>
        <v/>
      </c>
    </row>
    <row r="192">
      <c r="A192" s="2" t="inlineStr">
        <is>
          <t>suzuki_gsx_8r_standard</t>
        </is>
      </c>
      <c r="B192" s="2" t="inlineStr">
        <is>
          <t>Suzuki</t>
        </is>
      </c>
      <c r="C192" s="2" t="inlineStr">
        <is>
          <t>GSX-8R</t>
        </is>
      </c>
      <c r="D192" s="2" t="inlineStr">
        <is>
          <t>Standard</t>
        </is>
      </c>
      <c r="E192" s="2" t="inlineStr">
        <is>
          <t>Sport</t>
        </is>
      </c>
      <c r="F192" s="2" t="inlineStr">
        <is>
          <t>Premium/Performance ICE</t>
        </is>
      </c>
      <c r="G192" s="2">
        <f>IF(COUNTIFS(videos!$A:$A,A192,videos!$C:$C,"&lt;&gt;")&gt;=1,"Yes","No")</f>
        <v/>
      </c>
      <c r="H192" s="2">
        <f>IF(G192="Yes","Done","Not started")</f>
        <v/>
      </c>
    </row>
    <row r="193">
      <c r="A193" s="2" t="inlineStr">
        <is>
          <t>suzuki_access_125_ride_connect_edition</t>
        </is>
      </c>
      <c r="B193" s="2" t="inlineStr">
        <is>
          <t>Suzuki</t>
        </is>
      </c>
      <c r="C193" s="2" t="inlineStr">
        <is>
          <t>Access 125</t>
        </is>
      </c>
      <c r="D193" s="2" t="inlineStr">
        <is>
          <t>Ride Connect Edition</t>
        </is>
      </c>
      <c r="E193" s="2" t="inlineStr">
        <is>
          <t>Scooter</t>
        </is>
      </c>
      <c r="F193" s="2" t="inlineStr">
        <is>
          <t>Mass-market ICE</t>
        </is>
      </c>
      <c r="G193" s="2">
        <f>IF(COUNTIFS(videos!$A:$A,A193,videos!$C:$C,"&lt;&gt;")&gt;=1,"Yes","No")</f>
        <v/>
      </c>
      <c r="H193" s="2">
        <f>IF(G193="Yes","Done","Not started")</f>
        <v/>
      </c>
    </row>
    <row r="194">
      <c r="A194" s="2" t="inlineStr">
        <is>
          <t>suzuki_avenis_125_race_edition</t>
        </is>
      </c>
      <c r="B194" s="2" t="inlineStr">
        <is>
          <t>Suzuki</t>
        </is>
      </c>
      <c r="C194" s="2" t="inlineStr">
        <is>
          <t>Avenis 125</t>
        </is>
      </c>
      <c r="D194" s="2" t="inlineStr">
        <is>
          <t>Race Edition</t>
        </is>
      </c>
      <c r="E194" s="2" t="inlineStr">
        <is>
          <t>Scooter</t>
        </is>
      </c>
      <c r="F194" s="2" t="inlineStr">
        <is>
          <t>Mass-market ICE</t>
        </is>
      </c>
      <c r="G194" s="2">
        <f>IF(COUNTIFS(videos!$A:$A,A194,videos!$C:$C,"&lt;&gt;")&gt;=1,"Yes","No")</f>
        <v/>
      </c>
      <c r="H194" s="2">
        <f>IF(G194="Yes","Done","Not started")</f>
        <v/>
      </c>
    </row>
    <row r="195">
      <c r="A195" s="2" t="inlineStr">
        <is>
          <t>suzuki_burgman_street_125_ride_connect_edition</t>
        </is>
      </c>
      <c r="B195" s="2" t="inlineStr">
        <is>
          <t>Suzuki</t>
        </is>
      </c>
      <c r="C195" s="2" t="inlineStr">
        <is>
          <t>Burgman Street 125</t>
        </is>
      </c>
      <c r="D195" s="2" t="inlineStr">
        <is>
          <t>Ride Connect Edition</t>
        </is>
      </c>
      <c r="E195" s="2" t="inlineStr">
        <is>
          <t>Scooter</t>
        </is>
      </c>
      <c r="F195" s="2" t="inlineStr">
        <is>
          <t>Mass-market ICE</t>
        </is>
      </c>
      <c r="G195" s="2">
        <f>IF(COUNTIFS(videos!$A:$A,A195,videos!$C:$C,"&lt;&gt;")&gt;=1,"Yes","No")</f>
        <v/>
      </c>
      <c r="H195" s="2">
        <f>IF(G195="Yes","Done","Not started")</f>
        <v/>
      </c>
    </row>
    <row r="196">
      <c r="A196" s="2" t="inlineStr">
        <is>
          <t>triumph_speed_t4_standard</t>
        </is>
      </c>
      <c r="B196" s="2" t="inlineStr">
        <is>
          <t>Triumph</t>
        </is>
      </c>
      <c r="C196" s="2" t="inlineStr">
        <is>
          <t>Speed T4</t>
        </is>
      </c>
      <c r="D196" s="2" t="inlineStr">
        <is>
          <t>Standard</t>
        </is>
      </c>
      <c r="E196" s="2" t="inlineStr">
        <is>
          <t>Naked/Street</t>
        </is>
      </c>
      <c r="F196" s="2" t="inlineStr">
        <is>
          <t>Premium/Performance ICE</t>
        </is>
      </c>
      <c r="G196" s="2">
        <f>IF(COUNTIFS(videos!$A:$A,A196,videos!$C:$C,"&lt;&gt;")&gt;=1,"Yes","No")</f>
        <v/>
      </c>
      <c r="H196" s="2">
        <f>IF(G196="Yes","Done","Not started")</f>
        <v/>
      </c>
    </row>
    <row r="197">
      <c r="A197" s="2" t="inlineStr">
        <is>
          <t>triumph_speed_400_standard</t>
        </is>
      </c>
      <c r="B197" s="2" t="inlineStr">
        <is>
          <t>Triumph</t>
        </is>
      </c>
      <c r="C197" s="2" t="inlineStr">
        <is>
          <t>Speed 400</t>
        </is>
      </c>
      <c r="D197" s="2" t="inlineStr">
        <is>
          <t>Standard</t>
        </is>
      </c>
      <c r="E197" s="2" t="inlineStr">
        <is>
          <t>Naked/Street</t>
        </is>
      </c>
      <c r="F197" s="2" t="inlineStr">
        <is>
          <t>Premium/Performance ICE</t>
        </is>
      </c>
      <c r="G197" s="2">
        <f>IF(COUNTIFS(videos!$A:$A,A197,videos!$C:$C,"&lt;&gt;")&gt;=1,"Yes","No")</f>
        <v/>
      </c>
      <c r="H197" s="2">
        <f>IF(G197="Yes","Done","Not started")</f>
        <v/>
      </c>
    </row>
    <row r="198">
      <c r="A198" s="2" t="inlineStr">
        <is>
          <t>triumph_scrambler_400_x_standard</t>
        </is>
      </c>
      <c r="B198" s="2" t="inlineStr">
        <is>
          <t>Triumph</t>
        </is>
      </c>
      <c r="C198" s="2" t="inlineStr">
        <is>
          <t>Scrambler 400 X</t>
        </is>
      </c>
      <c r="D198" s="2" t="inlineStr">
        <is>
          <t>Standard</t>
        </is>
      </c>
      <c r="E198" s="2" t="inlineStr">
        <is>
          <t>Naked/Street</t>
        </is>
      </c>
      <c r="F198" s="2" t="inlineStr">
        <is>
          <t>Premium/Performance ICE</t>
        </is>
      </c>
      <c r="G198" s="2">
        <f>IF(COUNTIFS(videos!$A:$A,A198,videos!$C:$C,"&lt;&gt;")&gt;=1,"Yes","No")</f>
        <v/>
      </c>
      <c r="H198" s="2">
        <f>IF(G198="Yes","Done","Not started")</f>
        <v/>
      </c>
    </row>
    <row r="199">
      <c r="A199" s="2" t="inlineStr">
        <is>
          <t>triumph_trident_660_standard</t>
        </is>
      </c>
      <c r="B199" s="2" t="inlineStr">
        <is>
          <t>Triumph</t>
        </is>
      </c>
      <c r="C199" s="2" t="inlineStr">
        <is>
          <t>Trident 660</t>
        </is>
      </c>
      <c r="D199" s="2" t="inlineStr">
        <is>
          <t>Standard</t>
        </is>
      </c>
      <c r="E199" s="2" t="inlineStr">
        <is>
          <t>Naked/Street</t>
        </is>
      </c>
      <c r="F199" s="2" t="inlineStr">
        <is>
          <t>Premium/Performance ICE</t>
        </is>
      </c>
      <c r="G199" s="2">
        <f>IF(COUNTIFS(videos!$A:$A,A199,videos!$C:$C,"&lt;&gt;")&gt;=1,"Yes","No")</f>
        <v/>
      </c>
      <c r="H199" s="2">
        <f>IF(G199="Yes","Done","Not started")</f>
        <v/>
      </c>
    </row>
    <row r="200">
      <c r="A200" s="2" t="inlineStr">
        <is>
          <t>triumph_tiger_sport_660_standard</t>
        </is>
      </c>
      <c r="B200" s="2" t="inlineStr">
        <is>
          <t>Triumph</t>
        </is>
      </c>
      <c r="C200" s="2" t="inlineStr">
        <is>
          <t>Tiger Sport 660</t>
        </is>
      </c>
      <c r="D200" s="2" t="inlineStr">
        <is>
          <t>Standard</t>
        </is>
      </c>
      <c r="E200" s="2" t="inlineStr">
        <is>
          <t>Tourer</t>
        </is>
      </c>
      <c r="F200" s="2" t="inlineStr">
        <is>
          <t>Premium/Performance ICE</t>
        </is>
      </c>
      <c r="G200" s="2">
        <f>IF(COUNTIFS(videos!$A:$A,A200,videos!$C:$C,"&lt;&gt;")&gt;=1,"Yes","No")</f>
        <v/>
      </c>
      <c r="H200" s="2">
        <f>IF(G200="Yes","Done","Not started")</f>
        <v/>
      </c>
    </row>
    <row r="201">
      <c r="A201" s="2" t="inlineStr">
        <is>
          <t>triumph_street_triple_r_standard</t>
        </is>
      </c>
      <c r="B201" s="2" t="inlineStr">
        <is>
          <t>Triumph</t>
        </is>
      </c>
      <c r="C201" s="2" t="inlineStr">
        <is>
          <t>Street Triple R</t>
        </is>
      </c>
      <c r="D201" s="2" t="inlineStr">
        <is>
          <t>Standard</t>
        </is>
      </c>
      <c r="E201" s="2" t="inlineStr">
        <is>
          <t>Naked/Street</t>
        </is>
      </c>
      <c r="F201" s="2" t="inlineStr">
        <is>
          <t>Premium/Performance ICE</t>
        </is>
      </c>
      <c r="G201" s="2">
        <f>IF(COUNTIFS(videos!$A:$A,A201,videos!$C:$C,"&lt;&gt;")&gt;=1,"Yes","No")</f>
        <v/>
      </c>
      <c r="H201" s="2">
        <f>IF(G201="Yes","Done","Not started")</f>
        <v/>
      </c>
    </row>
    <row r="202">
      <c r="A202" s="2" t="inlineStr">
        <is>
          <t>triumph_street_triple_rs_standard</t>
        </is>
      </c>
      <c r="B202" s="2" t="inlineStr">
        <is>
          <t>Triumph</t>
        </is>
      </c>
      <c r="C202" s="2" t="inlineStr">
        <is>
          <t>Street Triple RS</t>
        </is>
      </c>
      <c r="D202" s="2" t="inlineStr">
        <is>
          <t>Standard</t>
        </is>
      </c>
      <c r="E202" s="2" t="inlineStr">
        <is>
          <t>Naked/Street</t>
        </is>
      </c>
      <c r="F202" s="2" t="inlineStr">
        <is>
          <t>Premium/Performance ICE</t>
        </is>
      </c>
      <c r="G202" s="2">
        <f>IF(COUNTIFS(videos!$A:$A,A202,videos!$C:$C,"&lt;&gt;")&gt;=1,"Yes","No")</f>
        <v/>
      </c>
      <c r="H202" s="2">
        <f>IF(G202="Yes","Done","Not started")</f>
        <v/>
      </c>
    </row>
    <row r="203">
      <c r="A203" s="2" t="inlineStr">
        <is>
          <t>triumph_tiger_900_gt_pro</t>
        </is>
      </c>
      <c r="B203" s="2" t="inlineStr">
        <is>
          <t>Triumph</t>
        </is>
      </c>
      <c r="C203" s="2" t="inlineStr">
        <is>
          <t>Tiger 900</t>
        </is>
      </c>
      <c r="D203" s="2" t="inlineStr">
        <is>
          <t>GT Pro</t>
        </is>
      </c>
      <c r="E203" s="2" t="inlineStr">
        <is>
          <t>Adventure</t>
        </is>
      </c>
      <c r="F203" s="2" t="inlineStr">
        <is>
          <t>Premium/Performance ICE</t>
        </is>
      </c>
      <c r="G203" s="2">
        <f>IF(COUNTIFS(videos!$A:$A,A203,videos!$C:$C,"&lt;&gt;")&gt;=1,"Yes","No")</f>
        <v/>
      </c>
      <c r="H203" s="2">
        <f>IF(G203="Yes","Done","Not started")</f>
        <v/>
      </c>
    </row>
    <row r="204">
      <c r="A204" s="2" t="inlineStr">
        <is>
          <t>triumph_tiger_1200_gt_pro</t>
        </is>
      </c>
      <c r="B204" s="2" t="inlineStr">
        <is>
          <t>Triumph</t>
        </is>
      </c>
      <c r="C204" s="2" t="inlineStr">
        <is>
          <t>Tiger 1200</t>
        </is>
      </c>
      <c r="D204" s="2" t="inlineStr">
        <is>
          <t>GT Pro</t>
        </is>
      </c>
      <c r="E204" s="2" t="inlineStr">
        <is>
          <t>Adventure</t>
        </is>
      </c>
      <c r="F204" s="2" t="inlineStr">
        <is>
          <t>Premium/Performance ICE</t>
        </is>
      </c>
      <c r="G204" s="2">
        <f>IF(COUNTIFS(videos!$A:$A,A204,videos!$C:$C,"&lt;&gt;")&gt;=1,"Yes","No")</f>
        <v/>
      </c>
      <c r="H204" s="2">
        <f>IF(G204="Yes","Done","Not started")</f>
        <v/>
      </c>
    </row>
    <row r="205">
      <c r="A205" s="2" t="inlineStr">
        <is>
          <t>triumph_speed_twin_900_standard</t>
        </is>
      </c>
      <c r="B205" s="2" t="inlineStr">
        <is>
          <t>Triumph</t>
        </is>
      </c>
      <c r="C205" s="2" t="inlineStr">
        <is>
          <t>Speed Twin 900</t>
        </is>
      </c>
      <c r="D205" s="2" t="inlineStr">
        <is>
          <t>Standard</t>
        </is>
      </c>
      <c r="E205" s="2" t="inlineStr">
        <is>
          <t>Naked/Street</t>
        </is>
      </c>
      <c r="F205" s="2" t="inlineStr">
        <is>
          <t>Premium/Performance ICE</t>
        </is>
      </c>
      <c r="G205" s="2">
        <f>IF(COUNTIFS(videos!$A:$A,A205,videos!$C:$C,"&lt;&gt;")&gt;=1,"Yes","No")</f>
        <v/>
      </c>
      <c r="H205" s="2">
        <f>IF(G205="Yes","Done","Not started")</f>
        <v/>
      </c>
    </row>
    <row r="206">
      <c r="A206" s="2" t="inlineStr">
        <is>
          <t>triumph_speed_twin_1200_standard</t>
        </is>
      </c>
      <c r="B206" s="2" t="inlineStr">
        <is>
          <t>Triumph</t>
        </is>
      </c>
      <c r="C206" s="2" t="inlineStr">
        <is>
          <t>Speed Twin 1200</t>
        </is>
      </c>
      <c r="D206" s="2" t="inlineStr">
        <is>
          <t>Standard</t>
        </is>
      </c>
      <c r="E206" s="2" t="inlineStr">
        <is>
          <t>Naked/Street</t>
        </is>
      </c>
      <c r="F206" s="2" t="inlineStr">
        <is>
          <t>Premium/Performance ICE</t>
        </is>
      </c>
      <c r="G206" s="2">
        <f>IF(COUNTIFS(videos!$A:$A,A206,videos!$C:$C,"&lt;&gt;")&gt;=1,"Yes","No")</f>
        <v/>
      </c>
      <c r="H206" s="2">
        <f>IF(G206="Yes","Done","Not started")</f>
        <v/>
      </c>
    </row>
    <row r="207">
      <c r="A207" s="2" t="inlineStr">
        <is>
          <t>triumph_bonneville_t100_standard</t>
        </is>
      </c>
      <c r="B207" s="2" t="inlineStr">
        <is>
          <t>Triumph</t>
        </is>
      </c>
      <c r="C207" s="2" t="inlineStr">
        <is>
          <t>Bonneville T100</t>
        </is>
      </c>
      <c r="D207" s="2" t="inlineStr">
        <is>
          <t>Standard</t>
        </is>
      </c>
      <c r="E207" s="2" t="inlineStr">
        <is>
          <t>Cruiser</t>
        </is>
      </c>
      <c r="F207" s="2" t="inlineStr">
        <is>
          <t>Premium/Performance ICE</t>
        </is>
      </c>
      <c r="G207" s="2">
        <f>IF(COUNTIFS(videos!$A:$A,A207,videos!$C:$C,"&lt;&gt;")&gt;=1,"Yes","No")</f>
        <v/>
      </c>
      <c r="H207" s="2">
        <f>IF(G207="Yes","Done","Not started")</f>
        <v/>
      </c>
    </row>
    <row r="208">
      <c r="A208" s="2" t="inlineStr">
        <is>
          <t>triumph_bonneville_t120_standard</t>
        </is>
      </c>
      <c r="B208" s="2" t="inlineStr">
        <is>
          <t>Triumph</t>
        </is>
      </c>
      <c r="C208" s="2" t="inlineStr">
        <is>
          <t>Bonneville T120</t>
        </is>
      </c>
      <c r="D208" s="2" t="inlineStr">
        <is>
          <t>Standard</t>
        </is>
      </c>
      <c r="E208" s="2" t="inlineStr">
        <is>
          <t>Cruiser</t>
        </is>
      </c>
      <c r="F208" s="2" t="inlineStr">
        <is>
          <t>Premium/Performance ICE</t>
        </is>
      </c>
      <c r="G208" s="2">
        <f>IF(COUNTIFS(videos!$A:$A,A208,videos!$C:$C,"&lt;&gt;")&gt;=1,"Yes","No")</f>
        <v/>
      </c>
      <c r="H208" s="2">
        <f>IF(G208="Yes","Done","Not started")</f>
        <v/>
      </c>
    </row>
    <row r="209">
      <c r="A209" s="2" t="inlineStr">
        <is>
          <t>triumph_rocket_3_r</t>
        </is>
      </c>
      <c r="B209" s="2" t="inlineStr">
        <is>
          <t>Triumph</t>
        </is>
      </c>
      <c r="C209" s="2" t="inlineStr">
        <is>
          <t>Rocket 3</t>
        </is>
      </c>
      <c r="D209" s="2" t="inlineStr">
        <is>
          <t>R</t>
        </is>
      </c>
      <c r="E209" s="2" t="inlineStr">
        <is>
          <t>Cruiser</t>
        </is>
      </c>
      <c r="F209" s="2" t="inlineStr">
        <is>
          <t>Premium/Performance ICE</t>
        </is>
      </c>
      <c r="G209" s="2">
        <f>IF(COUNTIFS(videos!$A:$A,A209,videos!$C:$C,"&lt;&gt;")&gt;=1,"Yes","No")</f>
        <v/>
      </c>
      <c r="H209" s="2">
        <f>IF(G209="Yes","Done","Not started")</f>
        <v/>
      </c>
    </row>
    <row r="210">
      <c r="A210" s="2" t="inlineStr">
        <is>
          <t>tvs_xl100_heavy_duty_i_touchstart</t>
        </is>
      </c>
      <c r="B210" s="2" t="inlineStr">
        <is>
          <t>TVS</t>
        </is>
      </c>
      <c r="C210" s="2" t="inlineStr">
        <is>
          <t>XL100</t>
        </is>
      </c>
      <c r="D210" s="2" t="inlineStr">
        <is>
          <t>Heavy Duty i-TOUCHstart</t>
        </is>
      </c>
      <c r="E210" s="2" t="inlineStr">
        <is>
          <t>Moped</t>
        </is>
      </c>
      <c r="F210" s="2" t="inlineStr">
        <is>
          <t>Mass-market ICE</t>
        </is>
      </c>
      <c r="G210" s="2">
        <f>IF(COUNTIFS(videos!$A:$A,A210,videos!$C:$C,"&lt;&gt;")&gt;=1,"Yes","No")</f>
        <v/>
      </c>
      <c r="H210" s="2">
        <f>IF(G210="Yes","Done","Not started")</f>
        <v/>
      </c>
    </row>
    <row r="211">
      <c r="A211" s="2" t="inlineStr">
        <is>
          <t>tvs_sport_self_start_es</t>
        </is>
      </c>
      <c r="B211" s="2" t="inlineStr">
        <is>
          <t>TVS</t>
        </is>
      </c>
      <c r="C211" s="2" t="inlineStr">
        <is>
          <t>Sport</t>
        </is>
      </c>
      <c r="D211" s="2" t="inlineStr">
        <is>
          <t>Self Start ES</t>
        </is>
      </c>
      <c r="E211" s="2" t="inlineStr">
        <is>
          <t>Commuter</t>
        </is>
      </c>
      <c r="F211" s="2" t="inlineStr">
        <is>
          <t>Mass-market ICE</t>
        </is>
      </c>
      <c r="G211" s="2">
        <f>IF(COUNTIFS(videos!$A:$A,A211,videos!$C:$C,"&lt;&gt;")&gt;=1,"Yes","No")</f>
        <v/>
      </c>
      <c r="H211" s="2">
        <f>IF(G211="Yes","Done","Not started")</f>
        <v/>
      </c>
    </row>
    <row r="212">
      <c r="A212" s="2" t="inlineStr">
        <is>
          <t>tvs_radeon_base_drum</t>
        </is>
      </c>
      <c r="B212" s="2" t="inlineStr">
        <is>
          <t>TVS</t>
        </is>
      </c>
      <c r="C212" s="2" t="inlineStr">
        <is>
          <t>Radeon</t>
        </is>
      </c>
      <c r="D212" s="2" t="inlineStr">
        <is>
          <t>Base Drum</t>
        </is>
      </c>
      <c r="E212" s="2" t="inlineStr">
        <is>
          <t>Commuter</t>
        </is>
      </c>
      <c r="F212" s="2" t="inlineStr">
        <is>
          <t>Mass-market ICE</t>
        </is>
      </c>
      <c r="G212" s="2">
        <f>IF(COUNTIFS(videos!$A:$A,A212,videos!$C:$C,"&lt;&gt;")&gt;=1,"Yes","No")</f>
        <v/>
      </c>
      <c r="H212" s="2">
        <f>IF(G212="Yes","Done","Not started")</f>
        <v/>
      </c>
    </row>
    <row r="213">
      <c r="A213" s="2" t="inlineStr">
        <is>
          <t>tvs_star_city_plus_drum</t>
        </is>
      </c>
      <c r="B213" s="2" t="inlineStr">
        <is>
          <t>TVS</t>
        </is>
      </c>
      <c r="C213" s="2" t="inlineStr">
        <is>
          <t>Star City Plus</t>
        </is>
      </c>
      <c r="D213" s="2" t="inlineStr">
        <is>
          <t>Drum</t>
        </is>
      </c>
      <c r="E213" s="2" t="inlineStr">
        <is>
          <t>Commuter</t>
        </is>
      </c>
      <c r="F213" s="2" t="inlineStr">
        <is>
          <t>Mass-market ICE</t>
        </is>
      </c>
      <c r="G213" s="2">
        <f>IF(COUNTIFS(videos!$A:$A,A213,videos!$C:$C,"&lt;&gt;")&gt;=1,"Yes","No")</f>
        <v/>
      </c>
      <c r="H213" s="2">
        <f>IF(G213="Yes","Done","Not started")</f>
        <v/>
      </c>
    </row>
    <row r="214">
      <c r="A214" s="2" t="inlineStr">
        <is>
          <t>tvs_raider_125_single_seat</t>
        </is>
      </c>
      <c r="B214" s="2" t="inlineStr">
        <is>
          <t>TVS</t>
        </is>
      </c>
      <c r="C214" s="2" t="inlineStr">
        <is>
          <t>Raider 125</t>
        </is>
      </c>
      <c r="D214" s="2" t="inlineStr">
        <is>
          <t>Single Seat</t>
        </is>
      </c>
      <c r="E214" s="2" t="inlineStr">
        <is>
          <t>Commuter</t>
        </is>
      </c>
      <c r="F214" s="2" t="inlineStr">
        <is>
          <t>Mass-market ICE</t>
        </is>
      </c>
      <c r="G214" s="2">
        <f>IF(COUNTIFS(videos!$A:$A,A214,videos!$C:$C,"&lt;&gt;")&gt;=1,"Yes","No")</f>
        <v/>
      </c>
      <c r="H214" s="2">
        <f>IF(G214="Yes","Done","Not started")</f>
        <v/>
      </c>
    </row>
    <row r="215">
      <c r="A215" s="2" t="inlineStr">
        <is>
          <t>tvs_apache_rtr_160_rm_drum</t>
        </is>
      </c>
      <c r="B215" s="2" t="inlineStr">
        <is>
          <t>TVS</t>
        </is>
      </c>
      <c r="C215" s="2" t="inlineStr">
        <is>
          <t>Apache RTR 160</t>
        </is>
      </c>
      <c r="D215" s="2" t="inlineStr">
        <is>
          <t>RM Drum</t>
        </is>
      </c>
      <c r="E215" s="2" t="inlineStr">
        <is>
          <t>Street</t>
        </is>
      </c>
      <c r="F215" s="2" t="inlineStr">
        <is>
          <t>Mass-market ICE</t>
        </is>
      </c>
      <c r="G215" s="2">
        <f>IF(COUNTIFS(videos!$A:$A,A215,videos!$C:$C,"&lt;&gt;")&gt;=1,"Yes","No")</f>
        <v/>
      </c>
      <c r="H215" s="2">
        <f>IF(G215="Yes","Done","Not started")</f>
        <v/>
      </c>
    </row>
    <row r="216">
      <c r="A216" s="2" t="inlineStr">
        <is>
          <t>tvs_apache_rtr_160_4v_special_edition</t>
        </is>
      </c>
      <c r="B216" s="2" t="inlineStr">
        <is>
          <t>TVS</t>
        </is>
      </c>
      <c r="C216" s="2" t="inlineStr">
        <is>
          <t>Apache RTR 160 4V</t>
        </is>
      </c>
      <c r="D216" s="2" t="inlineStr">
        <is>
          <t>Special Edition</t>
        </is>
      </c>
      <c r="E216" s="2" t="inlineStr">
        <is>
          <t>Street</t>
        </is>
      </c>
      <c r="F216" s="2" t="inlineStr">
        <is>
          <t>Mass-market ICE</t>
        </is>
      </c>
      <c r="G216" s="2">
        <f>IF(COUNTIFS(videos!$A:$A,A216,videos!$C:$C,"&lt;&gt;")&gt;=1,"Yes","No")</f>
        <v/>
      </c>
      <c r="H216" s="2">
        <f>IF(G216="Yes","Done","Not started")</f>
        <v/>
      </c>
    </row>
    <row r="217">
      <c r="A217" s="2" t="inlineStr">
        <is>
          <t>tvs_apache_rtr_180_standard</t>
        </is>
      </c>
      <c r="B217" s="2" t="inlineStr">
        <is>
          <t>TVS</t>
        </is>
      </c>
      <c r="C217" s="2" t="inlineStr">
        <is>
          <t>Apache RTR 180</t>
        </is>
      </c>
      <c r="D217" s="2" t="inlineStr">
        <is>
          <t>Standard</t>
        </is>
      </c>
      <c r="E217" s="2" t="inlineStr">
        <is>
          <t>Street</t>
        </is>
      </c>
      <c r="F217" s="2" t="inlineStr">
        <is>
          <t>Mass-market ICE</t>
        </is>
      </c>
      <c r="G217" s="2">
        <f>IF(COUNTIFS(videos!$A:$A,A217,videos!$C:$C,"&lt;&gt;")&gt;=1,"Yes","No")</f>
        <v/>
      </c>
      <c r="H217" s="2">
        <f>IF(G217="Yes","Done","Not started")</f>
        <v/>
      </c>
    </row>
    <row r="218">
      <c r="A218" s="2" t="inlineStr">
        <is>
          <t>tvs_apache_rtr_200_4v_dual_channel_abs</t>
        </is>
      </c>
      <c r="B218" s="2" t="inlineStr">
        <is>
          <t>TVS</t>
        </is>
      </c>
      <c r="C218" s="2" t="inlineStr">
        <is>
          <t>Apache RTR 200 4V</t>
        </is>
      </c>
      <c r="D218" s="2" t="inlineStr">
        <is>
          <t>Dual Channel ABS</t>
        </is>
      </c>
      <c r="E218" s="2" t="inlineStr">
        <is>
          <t>Street</t>
        </is>
      </c>
      <c r="F218" s="2" t="inlineStr">
        <is>
          <t>Mass-market ICE</t>
        </is>
      </c>
      <c r="G218" s="2">
        <f>IF(COUNTIFS(videos!$A:$A,A218,videos!$C:$C,"&lt;&gt;")&gt;=1,"Yes","No")</f>
        <v/>
      </c>
      <c r="H218" s="2">
        <f>IF(G218="Yes","Done","Not started")</f>
        <v/>
      </c>
    </row>
    <row r="219">
      <c r="A219" s="2" t="inlineStr">
        <is>
          <t>tvs_apache_rtx_300_standard</t>
        </is>
      </c>
      <c r="B219" s="2" t="inlineStr">
        <is>
          <t>TVS</t>
        </is>
      </c>
      <c r="C219" s="2" t="inlineStr">
        <is>
          <t>Apache RTX 300</t>
        </is>
      </c>
      <c r="D219" s="2" t="inlineStr">
        <is>
          <t>Standard</t>
        </is>
      </c>
      <c r="E219" s="2" t="inlineStr">
        <is>
          <t>Adventure</t>
        </is>
      </c>
      <c r="F219" s="2" t="inlineStr">
        <is>
          <t>Premium/Performance ICE</t>
        </is>
      </c>
      <c r="G219" s="2">
        <f>IF(COUNTIFS(videos!$A:$A,A219,videos!$C:$C,"&lt;&gt;")&gt;=1,"Yes","No")</f>
        <v/>
      </c>
      <c r="H219" s="2">
        <f>IF(G219="Yes","Done","Not started")</f>
        <v/>
      </c>
    </row>
    <row r="220">
      <c r="A220" s="2" t="inlineStr">
        <is>
          <t>tvs_apache_rtr_310_standard</t>
        </is>
      </c>
      <c r="B220" s="2" t="inlineStr">
        <is>
          <t>TVS</t>
        </is>
      </c>
      <c r="C220" s="2" t="inlineStr">
        <is>
          <t>Apache RTR 310</t>
        </is>
      </c>
      <c r="D220" s="2" t="inlineStr">
        <is>
          <t>Standard</t>
        </is>
      </c>
      <c r="E220" s="2" t="inlineStr">
        <is>
          <t>Street</t>
        </is>
      </c>
      <c r="F220" s="2" t="inlineStr">
        <is>
          <t>Premium/Performance ICE</t>
        </is>
      </c>
      <c r="G220" s="2">
        <f>IF(COUNTIFS(videos!$A:$A,A220,videos!$C:$C,"&lt;&gt;")&gt;=1,"Yes","No")</f>
        <v/>
      </c>
      <c r="H220" s="2">
        <f>IF(G220="Yes","Done","Not started")</f>
        <v/>
      </c>
    </row>
    <row r="221">
      <c r="A221" s="2" t="inlineStr">
        <is>
          <t>tvs_apache_rr_310_standard</t>
        </is>
      </c>
      <c r="B221" s="2" t="inlineStr">
        <is>
          <t>TVS</t>
        </is>
      </c>
      <c r="C221" s="2" t="inlineStr">
        <is>
          <t>Apache RR 310</t>
        </is>
      </c>
      <c r="D221" s="2" t="inlineStr">
        <is>
          <t>Standard</t>
        </is>
      </c>
      <c r="E221" s="2" t="inlineStr">
        <is>
          <t>Superbike</t>
        </is>
      </c>
      <c r="F221" s="2" t="inlineStr">
        <is>
          <t>Premium/Performance ICE</t>
        </is>
      </c>
      <c r="G221" s="2">
        <f>IF(COUNTIFS(videos!$A:$A,A221,videos!$C:$C,"&lt;&gt;")&gt;=1,"Yes","No")</f>
        <v/>
      </c>
      <c r="H221" s="2">
        <f>IF(G221="Yes","Done","Not started")</f>
        <v/>
      </c>
    </row>
    <row r="222">
      <c r="A222" s="2" t="inlineStr">
        <is>
          <t>tvs_ronin_225_ss_base</t>
        </is>
      </c>
      <c r="B222" s="2" t="inlineStr">
        <is>
          <t>TVS</t>
        </is>
      </c>
      <c r="C222" s="2" t="inlineStr">
        <is>
          <t>Ronin 225</t>
        </is>
      </c>
      <c r="D222" s="2" t="inlineStr">
        <is>
          <t>SS Base</t>
        </is>
      </c>
      <c r="E222" s="2" t="inlineStr">
        <is>
          <t>Modern Retro</t>
        </is>
      </c>
      <c r="F222" s="2" t="inlineStr">
        <is>
          <t>Mass-market ICE</t>
        </is>
      </c>
      <c r="G222" s="2">
        <f>IF(COUNTIFS(videos!$A:$A,A222,videos!$C:$C,"&lt;&gt;")&gt;=1,"Yes","No")</f>
        <v/>
      </c>
      <c r="H222" s="2">
        <f>IF(G222="Yes","Done","Not started")</f>
        <v/>
      </c>
    </row>
    <row r="223">
      <c r="A223" s="2" t="inlineStr">
        <is>
          <t>tvs_zest_110_matte_series</t>
        </is>
      </c>
      <c r="B223" s="2" t="inlineStr">
        <is>
          <t>TVS</t>
        </is>
      </c>
      <c r="C223" s="2" t="inlineStr">
        <is>
          <t>Zest 110</t>
        </is>
      </c>
      <c r="D223" s="2" t="inlineStr">
        <is>
          <t>Matte Series</t>
        </is>
      </c>
      <c r="E223" s="2" t="inlineStr">
        <is>
          <t>Scooter</t>
        </is>
      </c>
      <c r="F223" s="2" t="inlineStr">
        <is>
          <t>Mass-market ICE</t>
        </is>
      </c>
      <c r="G223" s="2">
        <f>IF(COUNTIFS(videos!$A:$A,A223,videos!$C:$C,"&lt;&gt;")&gt;=1,"Yes","No")</f>
        <v/>
      </c>
      <c r="H223" s="2">
        <f>IF(G223="Yes","Done","Not started")</f>
        <v/>
      </c>
    </row>
    <row r="224">
      <c r="A224" s="2" t="inlineStr">
        <is>
          <t>tvs_jupiter_sheet_metal_wheel</t>
        </is>
      </c>
      <c r="B224" s="2" t="inlineStr">
        <is>
          <t>TVS</t>
        </is>
      </c>
      <c r="C224" s="2" t="inlineStr">
        <is>
          <t>Jupiter</t>
        </is>
      </c>
      <c r="D224" s="2" t="inlineStr">
        <is>
          <t>Sheet Metal Wheel</t>
        </is>
      </c>
      <c r="E224" s="2" t="inlineStr">
        <is>
          <t>Scooter</t>
        </is>
      </c>
      <c r="F224" s="2" t="inlineStr">
        <is>
          <t>Mass-market ICE</t>
        </is>
      </c>
      <c r="G224" s="2">
        <f>IF(COUNTIFS(videos!$A:$A,A224,videos!$C:$C,"&lt;&gt;")&gt;=1,"Yes","No")</f>
        <v/>
      </c>
      <c r="H224" s="2">
        <f>IF(G224="Yes","Done","Not started")</f>
        <v/>
      </c>
    </row>
    <row r="225">
      <c r="A225" s="2" t="inlineStr">
        <is>
          <t>tvs_jupiter_125_drum_steel_wheel</t>
        </is>
      </c>
      <c r="B225" s="2" t="inlineStr">
        <is>
          <t>TVS</t>
        </is>
      </c>
      <c r="C225" s="2" t="inlineStr">
        <is>
          <t>Jupiter 125</t>
        </is>
      </c>
      <c r="D225" s="2" t="inlineStr">
        <is>
          <t>Drum Steel Wheel</t>
        </is>
      </c>
      <c r="E225" s="2" t="inlineStr">
        <is>
          <t>Scooter</t>
        </is>
      </c>
      <c r="F225" s="2" t="inlineStr">
        <is>
          <t>Mass-market ICE</t>
        </is>
      </c>
      <c r="G225" s="2">
        <f>IF(COUNTIFS(videos!$A:$A,A225,videos!$C:$C,"&lt;&gt;")&gt;=1,"Yes","No")</f>
        <v/>
      </c>
      <c r="H225" s="2">
        <f>IF(G225="Yes","Done","Not started")</f>
        <v/>
      </c>
    </row>
    <row r="226">
      <c r="A226" s="2" t="inlineStr">
        <is>
          <t>tvs_ntorq_125_disc</t>
        </is>
      </c>
      <c r="B226" s="2" t="inlineStr">
        <is>
          <t>TVS</t>
        </is>
      </c>
      <c r="C226" s="2" t="inlineStr">
        <is>
          <t>Ntorq 125</t>
        </is>
      </c>
      <c r="D226" s="2" t="inlineStr">
        <is>
          <t>Disc</t>
        </is>
      </c>
      <c r="E226" s="2" t="inlineStr">
        <is>
          <t>Scooter</t>
        </is>
      </c>
      <c r="F226" s="2" t="inlineStr">
        <is>
          <t>Mass-market ICE</t>
        </is>
      </c>
      <c r="G226" s="2">
        <f>IF(COUNTIFS(videos!$A:$A,A226,videos!$C:$C,"&lt;&gt;")&gt;=1,"Yes","No")</f>
        <v/>
      </c>
      <c r="H226" s="2">
        <f>IF(G226="Yes","Done","Not started")</f>
        <v/>
      </c>
    </row>
    <row r="227">
      <c r="A227" s="2" t="inlineStr">
        <is>
          <t>tvs_ntorq_150_standard</t>
        </is>
      </c>
      <c r="B227" s="2" t="inlineStr">
        <is>
          <t>TVS</t>
        </is>
      </c>
      <c r="C227" s="2" t="inlineStr">
        <is>
          <t>Ntorq 150</t>
        </is>
      </c>
      <c r="D227" s="2" t="inlineStr">
        <is>
          <t>Standard</t>
        </is>
      </c>
      <c r="E227" s="2" t="inlineStr">
        <is>
          <t>Scooter</t>
        </is>
      </c>
      <c r="F227" s="2" t="inlineStr">
        <is>
          <t>Mass-market ICE</t>
        </is>
      </c>
      <c r="G227" s="2">
        <f>IF(COUNTIFS(videos!$A:$A,A227,videos!$C:$C,"&lt;&gt;")&gt;=1,"Yes","No")</f>
        <v/>
      </c>
      <c r="H227" s="2">
        <f>IF(G227="Yes","Done","Not started")</f>
        <v/>
      </c>
    </row>
    <row r="228">
      <c r="A228" s="2" t="inlineStr">
        <is>
          <t>vespa_vxl_125_standard</t>
        </is>
      </c>
      <c r="B228" s="2" t="inlineStr">
        <is>
          <t>Vespa</t>
        </is>
      </c>
      <c r="C228" s="2" t="inlineStr">
        <is>
          <t>VXL 125</t>
        </is>
      </c>
      <c r="D228" s="2" t="inlineStr">
        <is>
          <t>Standard</t>
        </is>
      </c>
      <c r="E228" s="2" t="inlineStr">
        <is>
          <t>Scooter</t>
        </is>
      </c>
      <c r="F228" s="2" t="inlineStr">
        <is>
          <t>Mass-market ICE</t>
        </is>
      </c>
      <c r="G228" s="2">
        <f>IF(COUNTIFS(videos!$A:$A,A228,videos!$C:$C,"&lt;&gt;")&gt;=1,"Yes","No")</f>
        <v/>
      </c>
      <c r="H228" s="2">
        <f>IF(G228="Yes","Done","Not started")</f>
        <v/>
      </c>
    </row>
    <row r="229">
      <c r="A229" s="2" t="inlineStr">
        <is>
          <t>vespa_vxl_150_standard</t>
        </is>
      </c>
      <c r="B229" s="2" t="inlineStr">
        <is>
          <t>Vespa</t>
        </is>
      </c>
      <c r="C229" s="2" t="inlineStr">
        <is>
          <t>VXL 150</t>
        </is>
      </c>
      <c r="D229" s="2" t="inlineStr">
        <is>
          <t>Standard</t>
        </is>
      </c>
      <c r="E229" s="2" t="inlineStr">
        <is>
          <t>Scooter</t>
        </is>
      </c>
      <c r="F229" s="2" t="inlineStr">
        <is>
          <t>Mass-market ICE</t>
        </is>
      </c>
      <c r="G229" s="2">
        <f>IF(COUNTIFS(videos!$A:$A,A229,videos!$C:$C,"&lt;&gt;")&gt;=1,"Yes","No")</f>
        <v/>
      </c>
      <c r="H229" s="2">
        <f>IF(G229="Yes","Done","Not started")</f>
        <v/>
      </c>
    </row>
    <row r="230">
      <c r="A230" s="2" t="inlineStr">
        <is>
          <t>vespa_sxl_125_standard</t>
        </is>
      </c>
      <c r="B230" s="2" t="inlineStr">
        <is>
          <t>Vespa</t>
        </is>
      </c>
      <c r="C230" s="2" t="inlineStr">
        <is>
          <t>SXL 125</t>
        </is>
      </c>
      <c r="D230" s="2" t="inlineStr">
        <is>
          <t>Standard</t>
        </is>
      </c>
      <c r="E230" s="2" t="inlineStr">
        <is>
          <t>Scooter</t>
        </is>
      </c>
      <c r="F230" s="2" t="inlineStr">
        <is>
          <t>Mass-market ICE</t>
        </is>
      </c>
      <c r="G230" s="2">
        <f>IF(COUNTIFS(videos!$A:$A,A230,videos!$C:$C,"&lt;&gt;")&gt;=1,"Yes","No")</f>
        <v/>
      </c>
      <c r="H230" s="2">
        <f>IF(G230="Yes","Done","Not started")</f>
        <v/>
      </c>
    </row>
    <row r="231">
      <c r="A231" s="2" t="inlineStr">
        <is>
          <t>vespa_sxl_150_standard</t>
        </is>
      </c>
      <c r="B231" s="2" t="inlineStr">
        <is>
          <t>Vespa</t>
        </is>
      </c>
      <c r="C231" s="2" t="inlineStr">
        <is>
          <t>SXL 150</t>
        </is>
      </c>
      <c r="D231" s="2" t="inlineStr">
        <is>
          <t>Standard</t>
        </is>
      </c>
      <c r="E231" s="2" t="inlineStr">
        <is>
          <t>Scooter</t>
        </is>
      </c>
      <c r="F231" s="2" t="inlineStr">
        <is>
          <t>Mass-market ICE</t>
        </is>
      </c>
      <c r="G231" s="2">
        <f>IF(COUNTIFS(videos!$A:$A,A231,videos!$C:$C,"&lt;&gt;")&gt;=1,"Yes","No")</f>
        <v/>
      </c>
      <c r="H231" s="2">
        <f>IF(G231="Yes","Done","Not started")</f>
        <v/>
      </c>
    </row>
    <row r="232">
      <c r="A232" s="2" t="inlineStr">
        <is>
          <t>vespa_zx_125_cbs</t>
        </is>
      </c>
      <c r="B232" s="2" t="inlineStr">
        <is>
          <t>Vespa</t>
        </is>
      </c>
      <c r="C232" s="2" t="inlineStr">
        <is>
          <t>ZX 125</t>
        </is>
      </c>
      <c r="D232" s="2" t="inlineStr">
        <is>
          <t>CBS</t>
        </is>
      </c>
      <c r="E232" s="2" t="inlineStr">
        <is>
          <t>Scooter</t>
        </is>
      </c>
      <c r="F232" s="2" t="inlineStr">
        <is>
          <t>Mass-market ICE</t>
        </is>
      </c>
      <c r="G232" s="2">
        <f>IF(COUNTIFS(videos!$A:$A,A232,videos!$C:$C,"&lt;&gt;")&gt;=1,"Yes","No")</f>
        <v/>
      </c>
      <c r="H232" s="2">
        <f>IF(G232="Yes","Done","Not started")</f>
        <v/>
      </c>
    </row>
    <row r="233">
      <c r="A233" s="2" t="inlineStr">
        <is>
          <t>yamaha_fz_fi_standard_version_4_0</t>
        </is>
      </c>
      <c r="B233" s="2" t="inlineStr">
        <is>
          <t>Yamaha</t>
        </is>
      </c>
      <c r="C233" s="2" t="inlineStr">
        <is>
          <t>FZ-Fi</t>
        </is>
      </c>
      <c r="D233" s="2" t="inlineStr">
        <is>
          <t>Standard Version 4.0</t>
        </is>
      </c>
      <c r="E233" s="2" t="inlineStr">
        <is>
          <t>Commuter</t>
        </is>
      </c>
      <c r="F233" s="2" t="inlineStr">
        <is>
          <t>Mass-market ICE</t>
        </is>
      </c>
      <c r="G233" s="2">
        <f>IF(COUNTIFS(videos!$A:$A,A233,videos!$C:$C,"&lt;&gt;")&gt;=1,"Yes","No")</f>
        <v/>
      </c>
      <c r="H233" s="2">
        <f>IF(G233="Yes","Done","Not started")</f>
        <v/>
      </c>
    </row>
    <row r="234">
      <c r="A234" s="2" t="inlineStr">
        <is>
          <t>yamaha_fzs_fi_version_4_0_deluxe</t>
        </is>
      </c>
      <c r="B234" s="2" t="inlineStr">
        <is>
          <t>Yamaha</t>
        </is>
      </c>
      <c r="C234" s="2" t="inlineStr">
        <is>
          <t>FZS-Fi</t>
        </is>
      </c>
      <c r="D234" s="2" t="inlineStr">
        <is>
          <t>Version 4.0 Deluxe</t>
        </is>
      </c>
      <c r="E234" s="2" t="inlineStr">
        <is>
          <t>Commuter</t>
        </is>
      </c>
      <c r="F234" s="2" t="inlineStr">
        <is>
          <t>Mass-market ICE</t>
        </is>
      </c>
      <c r="G234" s="2">
        <f>IF(COUNTIFS(videos!$A:$A,A234,videos!$C:$C,"&lt;&gt;")&gt;=1,"Yes","No")</f>
        <v/>
      </c>
      <c r="H234" s="2">
        <f>IF(G234="Yes","Done","Not started")</f>
        <v/>
      </c>
    </row>
    <row r="235">
      <c r="A235" s="2" t="inlineStr">
        <is>
          <t>yamaha_fz_x_standard_chrome</t>
        </is>
      </c>
      <c r="B235" s="2" t="inlineStr">
        <is>
          <t>Yamaha</t>
        </is>
      </c>
      <c r="C235" s="2" t="inlineStr">
        <is>
          <t>FZ-X</t>
        </is>
      </c>
      <c r="D235" s="2" t="inlineStr">
        <is>
          <t>Standard Chrome</t>
        </is>
      </c>
      <c r="E235" s="2" t="inlineStr">
        <is>
          <t>Naked/Street</t>
        </is>
      </c>
      <c r="F235" s="2" t="inlineStr">
        <is>
          <t>Mass-market ICE</t>
        </is>
      </c>
      <c r="G235" s="2">
        <f>IF(COUNTIFS(videos!$A:$A,A235,videos!$C:$C,"&lt;&gt;")&gt;=1,"Yes","No")</f>
        <v/>
      </c>
      <c r="H235" s="2">
        <f>IF(G235="Yes","Done","Not started")</f>
        <v/>
      </c>
    </row>
    <row r="236">
      <c r="A236" s="2" t="inlineStr">
        <is>
          <t>yamaha_fz_25_standard</t>
        </is>
      </c>
      <c r="B236" s="2" t="inlineStr">
        <is>
          <t>Yamaha</t>
        </is>
      </c>
      <c r="C236" s="2" t="inlineStr">
        <is>
          <t>FZ 25</t>
        </is>
      </c>
      <c r="D236" s="2" t="inlineStr">
        <is>
          <t>Standard</t>
        </is>
      </c>
      <c r="E236" s="2" t="inlineStr">
        <is>
          <t>Naked/Street</t>
        </is>
      </c>
      <c r="F236" s="2" t="inlineStr">
        <is>
          <t>Mass-market ICE</t>
        </is>
      </c>
      <c r="G236" s="2">
        <f>IF(COUNTIFS(videos!$A:$A,A236,videos!$C:$C,"&lt;&gt;")&gt;=1,"Yes","No")</f>
        <v/>
      </c>
      <c r="H236" s="2">
        <f>IF(G236="Yes","Done","Not started")</f>
        <v/>
      </c>
    </row>
    <row r="237">
      <c r="A237" s="2" t="inlineStr">
        <is>
          <t>yamaha_mt_15_v2_deluxe</t>
        </is>
      </c>
      <c r="B237" s="2" t="inlineStr">
        <is>
          <t>Yamaha</t>
        </is>
      </c>
      <c r="C237" s="2" t="inlineStr">
        <is>
          <t>MT-15 V2</t>
        </is>
      </c>
      <c r="D237" s="2" t="inlineStr">
        <is>
          <t>Deluxe</t>
        </is>
      </c>
      <c r="E237" s="2" t="inlineStr">
        <is>
          <t>Naked/Street</t>
        </is>
      </c>
      <c r="F237" s="2" t="inlineStr">
        <is>
          <t>Mass-market ICE</t>
        </is>
      </c>
      <c r="G237" s="2">
        <f>IF(COUNTIFS(videos!$A:$A,A237,videos!$C:$C,"&lt;&gt;")&gt;=1,"Yes","No")</f>
        <v/>
      </c>
      <c r="H237" s="2">
        <f>IF(G237="Yes","Done","Not started")</f>
        <v/>
      </c>
    </row>
    <row r="238">
      <c r="A238" s="2" t="inlineStr">
        <is>
          <t>yamaha_yzf_r15_v4_deluxe</t>
        </is>
      </c>
      <c r="B238" s="2" t="inlineStr">
        <is>
          <t>Yamaha</t>
        </is>
      </c>
      <c r="C238" s="2" t="inlineStr">
        <is>
          <t>YZF-R15 V4</t>
        </is>
      </c>
      <c r="D238" s="2" t="inlineStr">
        <is>
          <t>Deluxe</t>
        </is>
      </c>
      <c r="E238" s="2" t="inlineStr">
        <is>
          <t>Sport</t>
        </is>
      </c>
      <c r="F238" s="2" t="inlineStr">
        <is>
          <t>Mass-market ICE</t>
        </is>
      </c>
      <c r="G238" s="2">
        <f>IF(COUNTIFS(videos!$A:$A,A238,videos!$C:$C,"&lt;&gt;")&gt;=1,"Yes","No")</f>
        <v/>
      </c>
      <c r="H238" s="2">
        <f>IF(G238="Yes","Done","Not started")</f>
        <v/>
      </c>
    </row>
    <row r="239">
      <c r="A239" s="2" t="inlineStr">
        <is>
          <t>yamaha_yzf_r15m_monster_energy_edition</t>
        </is>
      </c>
      <c r="B239" s="2" t="inlineStr">
        <is>
          <t>Yamaha</t>
        </is>
      </c>
      <c r="C239" s="2" t="inlineStr">
        <is>
          <t>YZF-R15M</t>
        </is>
      </c>
      <c r="D239" s="2" t="inlineStr">
        <is>
          <t>Monster Energy Edition</t>
        </is>
      </c>
      <c r="E239" s="2" t="inlineStr">
        <is>
          <t>Sport</t>
        </is>
      </c>
      <c r="F239" s="2" t="inlineStr">
        <is>
          <t>Mass-market ICE</t>
        </is>
      </c>
      <c r="G239" s="2">
        <f>IF(COUNTIFS(videos!$A:$A,A239,videos!$C:$C,"&lt;&gt;")&gt;=1,"Yes","No")</f>
        <v/>
      </c>
      <c r="H239" s="2">
        <f>IF(G239="Yes","Done","Not started")</f>
        <v/>
      </c>
    </row>
    <row r="240">
      <c r="A240" s="2" t="inlineStr">
        <is>
          <t>yamaha_yzf_r3_standard</t>
        </is>
      </c>
      <c r="B240" s="2" t="inlineStr">
        <is>
          <t>Yamaha</t>
        </is>
      </c>
      <c r="C240" s="2" t="inlineStr">
        <is>
          <t>YZF-R3</t>
        </is>
      </c>
      <c r="D240" s="2" t="inlineStr">
        <is>
          <t>Standard</t>
        </is>
      </c>
      <c r="E240" s="2" t="inlineStr">
        <is>
          <t>Sport</t>
        </is>
      </c>
      <c r="F240" s="2" t="inlineStr">
        <is>
          <t>Premium/Performance ICE</t>
        </is>
      </c>
      <c r="G240" s="2">
        <f>IF(COUNTIFS(videos!$A:$A,A240,videos!$C:$C,"&lt;&gt;")&gt;=1,"Yes","No")</f>
        <v/>
      </c>
      <c r="H240" s="2">
        <f>IF(G240="Yes","Done","Not started")</f>
        <v/>
      </c>
    </row>
    <row r="241">
      <c r="A241" s="2" t="inlineStr">
        <is>
          <t>yamaha_mt_03_standard</t>
        </is>
      </c>
      <c r="B241" s="2" t="inlineStr">
        <is>
          <t>Yamaha</t>
        </is>
      </c>
      <c r="C241" s="2" t="inlineStr">
        <is>
          <t>MT-03</t>
        </is>
      </c>
      <c r="D241" s="2" t="inlineStr">
        <is>
          <t>Standard</t>
        </is>
      </c>
      <c r="E241" s="2" t="inlineStr">
        <is>
          <t>Naked/Street</t>
        </is>
      </c>
      <c r="F241" s="2" t="inlineStr">
        <is>
          <t>Premium/Performance ICE</t>
        </is>
      </c>
      <c r="G241" s="2">
        <f>IF(COUNTIFS(videos!$A:$A,A241,videos!$C:$C,"&lt;&gt;")&gt;=1,"Yes","No")</f>
        <v/>
      </c>
      <c r="H241" s="2">
        <f>IF(G241="Yes","Done","Not started")</f>
        <v/>
      </c>
    </row>
    <row r="242">
      <c r="A242" s="2" t="inlineStr">
        <is>
          <t>yamaha_rayzr_125_fi_hybrid_disc_dark_knight</t>
        </is>
      </c>
      <c r="B242" s="2" t="inlineStr">
        <is>
          <t>Yamaha</t>
        </is>
      </c>
      <c r="C242" s="2" t="inlineStr">
        <is>
          <t>RayZR 125 Fi Hybrid</t>
        </is>
      </c>
      <c r="D242" s="2" t="inlineStr">
        <is>
          <t>Disc Dark Knight</t>
        </is>
      </c>
      <c r="E242" s="2" t="inlineStr">
        <is>
          <t>Scooter</t>
        </is>
      </c>
      <c r="F242" s="2" t="inlineStr">
        <is>
          <t>Mass-market ICE</t>
        </is>
      </c>
      <c r="G242" s="2">
        <f>IF(COUNTIFS(videos!$A:$A,A242,videos!$C:$C,"&lt;&gt;")&gt;=1,"Yes","No")</f>
        <v/>
      </c>
      <c r="H242" s="2">
        <f>IF(G242="Yes","Done","Not started")</f>
        <v/>
      </c>
    </row>
    <row r="243">
      <c r="A243" s="2" t="inlineStr">
        <is>
          <t>yamaha_fascino_125_fi_hybrid_disc_splendid_blue</t>
        </is>
      </c>
      <c r="B243" s="2" t="inlineStr">
        <is>
          <t>Yamaha</t>
        </is>
      </c>
      <c r="C243" s="2" t="inlineStr">
        <is>
          <t>Fascino 125 Fi Hybrid</t>
        </is>
      </c>
      <c r="D243" s="2" t="inlineStr">
        <is>
          <t>Disc Splendid Blue</t>
        </is>
      </c>
      <c r="E243" s="2" t="inlineStr">
        <is>
          <t>Scooter</t>
        </is>
      </c>
      <c r="F243" s="2" t="inlineStr">
        <is>
          <t>Mass-market ICE</t>
        </is>
      </c>
      <c r="G243" s="2">
        <f>IF(COUNTIFS(videos!$A:$A,A243,videos!$C:$C,"&lt;&gt;")&gt;=1,"Yes","No")</f>
        <v/>
      </c>
      <c r="H243" s="2">
        <f>IF(G243="Yes","Done","Not started")</f>
        <v/>
      </c>
    </row>
    <row r="244">
      <c r="A244" s="2" t="inlineStr">
        <is>
          <t>yamaha_aerox_155_version_s</t>
        </is>
      </c>
      <c r="B244" s="2" t="inlineStr">
        <is>
          <t>Yamaha</t>
        </is>
      </c>
      <c r="C244" s="2" t="inlineStr">
        <is>
          <t>Aerox 155</t>
        </is>
      </c>
      <c r="D244" s="2" t="inlineStr">
        <is>
          <t>Version S</t>
        </is>
      </c>
      <c r="E244" s="2" t="inlineStr">
        <is>
          <t>Scooter</t>
        </is>
      </c>
      <c r="F244" s="2" t="inlineStr">
        <is>
          <t>Mass-market ICE</t>
        </is>
      </c>
      <c r="G244" s="2">
        <f>IF(COUNTIFS(videos!$A:$A,A244,videos!$C:$C,"&lt;&gt;")&gt;=1,"Yes","No")</f>
        <v/>
      </c>
      <c r="H244" s="2">
        <f>IF(G244="Yes","Done","Not started")</f>
        <v/>
      </c>
    </row>
    <row r="245">
      <c r="A245" s="2" t="inlineStr">
        <is>
          <t>yezdi_roadster_smoke_grey</t>
        </is>
      </c>
      <c r="B245" s="2" t="inlineStr">
        <is>
          <t>Yezdi</t>
        </is>
      </c>
      <c r="C245" s="2" t="inlineStr">
        <is>
          <t>Roadster</t>
        </is>
      </c>
      <c r="D245" s="2" t="inlineStr">
        <is>
          <t>Smoke Grey</t>
        </is>
      </c>
      <c r="E245" s="2" t="inlineStr">
        <is>
          <t>Naked/Street</t>
        </is>
      </c>
      <c r="F245" s="2" t="inlineStr">
        <is>
          <t>Retro/Lifestyle ICE</t>
        </is>
      </c>
      <c r="G245" s="2">
        <f>IF(COUNTIFS(videos!$A:$A,A245,videos!$C:$C,"&lt;&gt;")&gt;=1,"Yes","No")</f>
        <v/>
      </c>
      <c r="H245" s="2">
        <f>IF(G245="Yes","Done","Not started")</f>
        <v/>
      </c>
    </row>
    <row r="246">
      <c r="A246" s="2" t="inlineStr">
        <is>
          <t>yezdi_scrambler_legacy_black</t>
        </is>
      </c>
      <c r="B246" s="2" t="inlineStr">
        <is>
          <t>Yezdi</t>
        </is>
      </c>
      <c r="C246" s="2" t="inlineStr">
        <is>
          <t>Scrambler</t>
        </is>
      </c>
      <c r="D246" s="2" t="inlineStr">
        <is>
          <t>Legacy Black</t>
        </is>
      </c>
      <c r="E246" s="2" t="inlineStr">
        <is>
          <t>Naked/Street</t>
        </is>
      </c>
      <c r="F246" s="2" t="inlineStr">
        <is>
          <t>Retro/Lifestyle ICE</t>
        </is>
      </c>
      <c r="G246" s="2">
        <f>IF(COUNTIFS(videos!$A:$A,A246,videos!$C:$C,"&lt;&gt;")&gt;=1,"Yes","No")</f>
        <v/>
      </c>
      <c r="H246" s="2">
        <f>IF(G246="Yes","Done","Not started")</f>
        <v/>
      </c>
    </row>
    <row r="247">
      <c r="A247" s="2" t="inlineStr">
        <is>
          <t>yezdi_adventure_matte_edition</t>
        </is>
      </c>
      <c r="B247" s="2" t="inlineStr">
        <is>
          <t>Yezdi</t>
        </is>
      </c>
      <c r="C247" s="2" t="inlineStr">
        <is>
          <t>Adventure</t>
        </is>
      </c>
      <c r="D247" s="2" t="inlineStr">
        <is>
          <t>Matte Edition</t>
        </is>
      </c>
      <c r="E247" s="2" t="inlineStr">
        <is>
          <t>Adventure</t>
        </is>
      </c>
      <c r="F247" s="2" t="inlineStr">
        <is>
          <t>Retro/Lifestyle ICE</t>
        </is>
      </c>
      <c r="G247" s="2">
        <f>IF(COUNTIFS(videos!$A:$A,A247,videos!$C:$C,"&lt;&gt;")&gt;=1,"Yes","No")</f>
        <v/>
      </c>
      <c r="H247" s="2">
        <f>IF(G247="Yes","Done","Not started")</f>
        <v/>
      </c>
    </row>
    <row r="248">
      <c r="A248" s="2" t="inlineStr">
        <is>
          <t>zontes_u1_200_standard</t>
        </is>
      </c>
      <c r="B248" s="2" t="inlineStr">
        <is>
          <t>Zontes</t>
        </is>
      </c>
      <c r="C248" s="2" t="inlineStr">
        <is>
          <t>U1 200</t>
        </is>
      </c>
      <c r="D248" s="2" t="inlineStr">
        <is>
          <t>Standard</t>
        </is>
      </c>
      <c r="E248" s="2" t="inlineStr">
        <is>
          <t>Naked/Street</t>
        </is>
      </c>
      <c r="F248" s="2" t="inlineStr">
        <is>
          <t>Premium/Performance ICE</t>
        </is>
      </c>
      <c r="G248" s="2">
        <f>IF(COUNTIFS(videos!$A:$A,A248,videos!$C:$C,"&lt;&gt;")&gt;=1,"Yes","No")</f>
        <v/>
      </c>
      <c r="H248" s="2">
        <f>IF(G248="Yes","Done","Not started")</f>
        <v/>
      </c>
    </row>
    <row r="249">
      <c r="A249" s="2" t="inlineStr">
        <is>
          <t>zontes_350r_standard</t>
        </is>
      </c>
      <c r="B249" s="2" t="inlineStr">
        <is>
          <t>Zontes</t>
        </is>
      </c>
      <c r="C249" s="2" t="inlineStr">
        <is>
          <t>350R</t>
        </is>
      </c>
      <c r="D249" s="2" t="inlineStr">
        <is>
          <t>Standard</t>
        </is>
      </c>
      <c r="E249" s="2" t="inlineStr">
        <is>
          <t>Naked/Street</t>
        </is>
      </c>
      <c r="F249" s="2" t="inlineStr">
        <is>
          <t>Premium/Performance ICE</t>
        </is>
      </c>
      <c r="G249" s="2">
        <f>IF(COUNTIFS(videos!$A:$A,A249,videos!$C:$C,"&lt;&gt;")&gt;=1,"Yes","No")</f>
        <v/>
      </c>
      <c r="H249" s="2">
        <f>IF(G249="Yes","Done","Not started")</f>
        <v/>
      </c>
    </row>
    <row r="250">
      <c r="A250" s="2" t="inlineStr">
        <is>
          <t>zontes_350x_standard</t>
        </is>
      </c>
      <c r="B250" s="2" t="inlineStr">
        <is>
          <t>Zontes</t>
        </is>
      </c>
      <c r="C250" s="2" t="inlineStr">
        <is>
          <t>350X</t>
        </is>
      </c>
      <c r="D250" s="2" t="inlineStr">
        <is>
          <t>Standard</t>
        </is>
      </c>
      <c r="E250" s="2" t="inlineStr">
        <is>
          <t>Sport</t>
        </is>
      </c>
      <c r="F250" s="2" t="inlineStr">
        <is>
          <t>Premium/Performance ICE</t>
        </is>
      </c>
      <c r="G250" s="2">
        <f>IF(COUNTIFS(videos!$A:$A,A250,videos!$C:$C,"&lt;&gt;")&gt;=1,"Yes","No")</f>
        <v/>
      </c>
      <c r="H250" s="2">
        <f>IF(G250="Yes","Done","Not started")</f>
        <v/>
      </c>
    </row>
    <row r="251">
      <c r="A251" s="2" t="inlineStr">
        <is>
          <t>zontes_350t_standard</t>
        </is>
      </c>
      <c r="B251" s="2" t="inlineStr">
        <is>
          <t>Zontes</t>
        </is>
      </c>
      <c r="C251" s="2" t="inlineStr">
        <is>
          <t>350T</t>
        </is>
      </c>
      <c r="D251" s="2" t="inlineStr">
        <is>
          <t>Standard</t>
        </is>
      </c>
      <c r="E251" s="2" t="inlineStr">
        <is>
          <t>Adventure</t>
        </is>
      </c>
      <c r="F251" s="2" t="inlineStr">
        <is>
          <t>Premium/Performance ICE</t>
        </is>
      </c>
      <c r="G251" s="2">
        <f>IF(COUNTIFS(videos!$A:$A,A251,videos!$C:$C,"&lt;&gt;")&gt;=1,"Yes","No")</f>
        <v/>
      </c>
      <c r="H251" s="2">
        <f>IF(G251="Yes","Done","Not started")</f>
        <v/>
      </c>
    </row>
    <row r="252">
      <c r="A252" s="2" t="inlineStr">
        <is>
          <t>zontes_350t_adv_standard</t>
        </is>
      </c>
      <c r="B252" s="2" t="inlineStr">
        <is>
          <t>Zontes</t>
        </is>
      </c>
      <c r="C252" s="2" t="inlineStr">
        <is>
          <t>350T ADV</t>
        </is>
      </c>
      <c r="D252" s="2" t="inlineStr">
        <is>
          <t>Standard</t>
        </is>
      </c>
      <c r="E252" s="2" t="inlineStr">
        <is>
          <t>Adventure</t>
        </is>
      </c>
      <c r="F252" s="2" t="inlineStr">
        <is>
          <t>Premium/Performance ICE</t>
        </is>
      </c>
      <c r="G252" s="2">
        <f>IF(COUNTIFS(videos!$A:$A,A252,videos!$C:$C,"&lt;&gt;")&gt;=1,"Yes","No")</f>
        <v/>
      </c>
      <c r="H252" s="2">
        <f>IF(G252="Yes","Done","Not started")</f>
        <v/>
      </c>
    </row>
    <row r="253">
      <c r="A253" s="2" t="inlineStr">
        <is>
          <t>zontes_350v_standard</t>
        </is>
      </c>
      <c r="B253" s="2" t="inlineStr">
        <is>
          <t>Zontes</t>
        </is>
      </c>
      <c r="C253" s="2" t="inlineStr">
        <is>
          <t>350V</t>
        </is>
      </c>
      <c r="D253" s="2" t="inlineStr">
        <is>
          <t>Standard</t>
        </is>
      </c>
      <c r="E253" s="2" t="inlineStr">
        <is>
          <t>Cruiser</t>
        </is>
      </c>
      <c r="F253" s="2" t="inlineStr">
        <is>
          <t>Premium/Performance ICE</t>
        </is>
      </c>
      <c r="G253" s="2">
        <f>IF(COUNTIFS(videos!$A:$A,A253,videos!$C:$C,"&lt;&gt;")&gt;=1,"Yes","No")</f>
        <v/>
      </c>
      <c r="H253" s="2">
        <f>IF(G253="Yes","Done","Not started")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3"/>
  <sheetViews>
    <sheetView tabSelected="1" zoomScaleNormal="100" workbookViewId="0">
      <pane xSplit="2" ySplit="1" topLeftCell="C229" activePane="bottomRight" state="frozen"/>
      <selection pane="topRight" activeCell="C1" sqref="C1"/>
      <selection pane="bottomLeft" activeCell="A2" sqref="A2"/>
      <selection pane="bottomRight" activeCell="C248" sqref="C248"/>
    </sheetView>
  </sheetViews>
  <sheetFormatPr baseColWidth="8" defaultColWidth="8.6640625" defaultRowHeight="14.4"/>
  <cols>
    <col width="34" customWidth="1" min="1" max="1"/>
    <col width="22.5546875" customWidth="1" min="2" max="2"/>
    <col width="53.33203125" customWidth="1" min="3" max="3"/>
    <col width="75.6640625" customWidth="1" min="4" max="4"/>
    <col width="48.6640625" customWidth="1" min="5" max="5"/>
    <col width="24.77734375" customWidth="1" min="6" max="6"/>
    <col width="14.33203125" customWidth="1" min="7" max="7"/>
    <col width="19" customWidth="1" min="8" max="8"/>
    <col width="21.21875" customWidth="1" min="9" max="9"/>
    <col width="25.77734375" customWidth="1" min="10" max="10"/>
    <col width="12" customWidth="1" min="11" max="11"/>
    <col width="16" customWidth="1" min="12" max="12"/>
    <col width="24" customWidth="1" min="13" max="13"/>
    <col width="14" customWidth="1" min="14" max="15"/>
    <col width="30" customWidth="1" min="16" max="16"/>
    <col width="14" customWidth="1" min="17" max="18"/>
  </cols>
  <sheetData>
    <row r="1" ht="26.4" customHeight="1">
      <c r="A1" s="1" t="inlineStr">
        <is>
          <t>motorcycle_id</t>
        </is>
      </c>
      <c r="B1" s="1" t="inlineStr">
        <is>
          <t>youtube_video_id</t>
        </is>
      </c>
      <c r="C1" s="1" t="inlineStr">
        <is>
          <t>youtube_url</t>
        </is>
      </c>
      <c r="D1" s="1" t="inlineStr">
        <is>
          <t>title</t>
        </is>
      </c>
      <c r="E1" s="1" t="inlineStr">
        <is>
          <t>channel</t>
        </is>
      </c>
      <c r="F1" s="1" t="inlineStr">
        <is>
          <t>review_type</t>
        </is>
      </c>
      <c r="G1" s="1" t="inlineStr">
        <is>
          <t>language</t>
        </is>
      </c>
      <c r="H1" s="1" t="inlineStr">
        <is>
          <t>duration_seconds</t>
        </is>
      </c>
      <c r="I1" s="1" t="inlineStr">
        <is>
          <t>published_at</t>
        </is>
      </c>
      <c r="J1" s="1" t="inlineStr">
        <is>
          <t>view_count</t>
        </is>
      </c>
      <c r="K1" s="1" t="inlineStr">
        <is>
          <t>is_ground_truth</t>
        </is>
      </c>
      <c r="L1" s="1" t="inlineStr">
        <is>
          <t>transcript_status</t>
        </is>
      </c>
      <c r="M1" s="1" t="inlineStr">
        <is>
          <t>transcript_path</t>
        </is>
      </c>
      <c r="N1" s="1" t="inlineStr">
        <is>
          <t>added_by</t>
        </is>
      </c>
      <c r="O1" s="1" t="inlineStr">
        <is>
          <t>date_added</t>
        </is>
      </c>
      <c r="P1" s="1" t="inlineStr">
        <is>
          <t>notes</t>
        </is>
      </c>
      <c r="Q1" s="1" t="inlineStr">
        <is>
          <t>created_at</t>
        </is>
      </c>
      <c r="R1" s="1" t="inlineStr">
        <is>
          <t>updated_at</t>
        </is>
      </c>
    </row>
    <row r="2" ht="27" customHeight="1">
      <c r="A2" s="2" t="inlineStr">
        <is>
          <t>aprilia_rs_457_standard</t>
        </is>
      </c>
      <c r="B2" s="13" t="inlineStr">
        <is>
          <t>-er9MuJBMgw</t>
        </is>
      </c>
      <c r="C2" s="9" t="inlineStr">
        <is>
          <t>https://youtu.be/-er9MuJBMgw?si=uDe4QtfF3HBnMc7M</t>
        </is>
      </c>
      <c r="D2" s="10" t="inlineStr">
        <is>
          <t xml:space="preserve">
Aprilia RS 457 Road Review | The Million Dollar Question! | Sagar Sheldekar Official</t>
        </is>
      </c>
      <c r="E2" s="10" t="inlineStr">
        <is>
          <t xml:space="preserve">
Sagar Sheldekar Official</t>
        </is>
      </c>
      <c r="F2" s="3" t="inlineStr">
        <is>
          <t>journalist</t>
        </is>
      </c>
      <c r="G2" s="3" t="inlineStr">
        <is>
          <t>English</t>
        </is>
      </c>
      <c r="H2" s="3" t="n">
        <v>485</v>
      </c>
      <c r="I2" s="11" t="n">
        <v>45391</v>
      </c>
      <c r="J2" s="12" t="n">
        <v>306243</v>
      </c>
      <c r="K2" s="2" t="inlineStr">
        <is>
          <t>Y</t>
        </is>
      </c>
      <c r="L2" s="2" t="inlineStr">
        <is>
          <t>done</t>
        </is>
      </c>
      <c r="M2" s="3" t="inlineStr">
        <is>
          <t>transcripts\aprilia_rs_457_standard.txt</t>
        </is>
      </c>
      <c r="N2" s="3" t="n"/>
      <c r="O2" s="3" t="n"/>
      <c r="P2" s="3" t="n"/>
      <c r="Q2" s="3" t="n"/>
      <c r="R2" s="3" t="n"/>
    </row>
    <row r="3" ht="27" customHeight="1">
      <c r="A3" s="2" t="inlineStr">
        <is>
          <t>aprilia_rs_660_standard</t>
        </is>
      </c>
      <c r="B3" s="13" t="inlineStr">
        <is>
          <t>t8iLGr2_O_YvqFw3</t>
        </is>
      </c>
      <c r="C3" s="9" t="inlineStr">
        <is>
          <t>https://youtu.be/5ZWQAi23Mxg?si=t8iLGr2_O_YvqFw3</t>
        </is>
      </c>
      <c r="D3" s="10" t="inlineStr">
        <is>
          <t xml:space="preserve">
2021 Aprilia RS 660 Review | Daily Rider</t>
        </is>
      </c>
      <c r="E3" s="3" t="inlineStr">
        <is>
          <t>RevZilla</t>
        </is>
      </c>
      <c r="F3" s="3" t="inlineStr">
        <is>
          <t>journalist</t>
        </is>
      </c>
      <c r="G3" s="3" t="inlineStr">
        <is>
          <t>English</t>
        </is>
      </c>
      <c r="H3" s="3" t="n">
        <v>2029</v>
      </c>
      <c r="I3" s="11" t="n">
        <v>44282</v>
      </c>
      <c r="J3" s="12" t="n">
        <v>663715</v>
      </c>
      <c r="K3" s="2" t="inlineStr">
        <is>
          <t>Y</t>
        </is>
      </c>
      <c r="L3" s="2" t="inlineStr">
        <is>
          <t>done</t>
        </is>
      </c>
      <c r="M3" s="3" t="inlineStr">
        <is>
          <t>transcripts\aprilia_rs_660_standard.txt</t>
        </is>
      </c>
      <c r="N3" s="3" t="n"/>
      <c r="O3" s="3" t="n"/>
      <c r="P3" s="3" t="n"/>
      <c r="Q3" s="3" t="n"/>
      <c r="R3" s="3" t="n"/>
    </row>
    <row r="4" ht="27" customHeight="1">
      <c r="A4" s="2" t="inlineStr">
        <is>
          <t>aprilia_tuono_660_standard</t>
        </is>
      </c>
      <c r="B4" s="13" t="inlineStr">
        <is>
          <t>XSCcViGWnNWKz7vV</t>
        </is>
      </c>
      <c r="C4" s="9" t="inlineStr">
        <is>
          <t>https://youtu.be/evHypf_f8BY?si=XSCcViGWnNWKz7vV</t>
        </is>
      </c>
      <c r="D4" s="10" t="inlineStr">
        <is>
          <t xml:space="preserve">
2021 Aprilia Tuono 660 First Ride Review</t>
        </is>
      </c>
      <c r="E4" s="3" t="inlineStr">
        <is>
          <t>RevZilla</t>
        </is>
      </c>
      <c r="F4" s="3" t="inlineStr">
        <is>
          <t>journalist</t>
        </is>
      </c>
      <c r="G4" s="3" t="inlineStr">
        <is>
          <t>English</t>
        </is>
      </c>
      <c r="H4" s="3" t="n">
        <v>213</v>
      </c>
      <c r="I4" s="11" t="n">
        <v>44292</v>
      </c>
      <c r="J4" s="12" t="n">
        <v>126460</v>
      </c>
      <c r="K4" s="2" t="inlineStr">
        <is>
          <t>Y</t>
        </is>
      </c>
      <c r="L4" s="2" t="inlineStr">
        <is>
          <t>done</t>
        </is>
      </c>
      <c r="M4" s="3" t="inlineStr">
        <is>
          <t>transcripts\aprilia_tuono_660_standard.txt</t>
        </is>
      </c>
      <c r="N4" s="3" t="n"/>
      <c r="O4" s="3" t="n"/>
      <c r="P4" s="3" t="n"/>
      <c r="Q4" s="3" t="n"/>
      <c r="R4" s="3" t="n"/>
    </row>
    <row r="5" ht="27" customHeight="1">
      <c r="A5" s="2" t="inlineStr">
        <is>
          <t>aprilia_tuareg_660_standard</t>
        </is>
      </c>
      <c r="B5" s="3" t="inlineStr">
        <is>
          <t>htrRbDlZBdN47iJx</t>
        </is>
      </c>
      <c r="C5" s="9" t="inlineStr">
        <is>
          <t>https://youtu.be/Cs-TlgsCJZs?si=htrRbDlZBdN47iJx</t>
        </is>
      </c>
      <c r="D5" s="10" t="inlineStr">
        <is>
          <t xml:space="preserve">
2022 Aprilia Tuareg 660 Review | Daily Rider</t>
        </is>
      </c>
      <c r="E5" s="3" t="inlineStr">
        <is>
          <t>RevZilla</t>
        </is>
      </c>
      <c r="F5" s="3" t="inlineStr">
        <is>
          <t>journalist</t>
        </is>
      </c>
      <c r="G5" s="3" t="inlineStr">
        <is>
          <t>English</t>
        </is>
      </c>
      <c r="H5" s="3" t="n">
        <v>2029</v>
      </c>
      <c r="I5" s="11" t="n">
        <v>44695</v>
      </c>
      <c r="J5" s="12" t="n">
        <v>332243</v>
      </c>
      <c r="K5" s="2" t="inlineStr">
        <is>
          <t>Y</t>
        </is>
      </c>
      <c r="L5" s="2" t="inlineStr">
        <is>
          <t>done</t>
        </is>
      </c>
      <c r="M5" s="3" t="inlineStr">
        <is>
          <t>transcripts\aprilia_tuareg_660_standard.txt</t>
        </is>
      </c>
      <c r="N5" s="3" t="n"/>
      <c r="O5" s="3" t="n"/>
      <c r="P5" s="3" t="n"/>
      <c r="Q5" s="3" t="n"/>
      <c r="R5" s="3" t="n"/>
    </row>
    <row r="6" ht="27" customHeight="1">
      <c r="A6" s="2" t="inlineStr">
        <is>
          <t>aprilia_rsv4_factory_standard</t>
        </is>
      </c>
      <c r="B6" s="13" t="inlineStr">
        <is>
          <t>GdKu8vkerjU3fmrh</t>
        </is>
      </c>
      <c r="C6" s="9" t="inlineStr">
        <is>
          <t>https://youtu.be/IsJ910DvBBQ?si=GdKu8vkerjU3fmrh</t>
        </is>
      </c>
      <c r="D6" s="10" t="inlineStr">
        <is>
          <t xml:space="preserve">
2025 Aprilia RSV4 Factory 1100 review | Noale's finest superbike yet | MCN</t>
        </is>
      </c>
      <c r="E6" s="3" t="inlineStr">
        <is>
          <t>MCN</t>
        </is>
      </c>
      <c r="F6" s="3" t="inlineStr">
        <is>
          <t>journalist</t>
        </is>
      </c>
      <c r="G6" s="3" t="inlineStr">
        <is>
          <t>English</t>
        </is>
      </c>
      <c r="H6" s="3" t="n">
        <v>954</v>
      </c>
      <c r="I6" s="11" t="n">
        <v>45779</v>
      </c>
      <c r="J6" s="12" t="n">
        <v>243537</v>
      </c>
      <c r="K6" s="2" t="inlineStr">
        <is>
          <t>Y</t>
        </is>
      </c>
      <c r="L6" s="2" t="inlineStr">
        <is>
          <t>failed</t>
        </is>
      </c>
      <c r="M6" s="3" t="n"/>
      <c r="N6" s="3" t="n"/>
      <c r="O6" s="3" t="n"/>
      <c r="P6" s="3" t="n"/>
      <c r="Q6" s="3" t="n"/>
      <c r="R6" s="3" t="n"/>
    </row>
    <row r="7" ht="27" customHeight="1">
      <c r="A7" s="2" t="inlineStr">
        <is>
          <t>aprilia_sr_125_standard</t>
        </is>
      </c>
      <c r="B7" s="15" t="inlineStr">
        <is>
          <t>nPztt0hHJMwndVPE</t>
        </is>
      </c>
      <c r="C7" s="9" t="inlineStr">
        <is>
          <t>https://youtu.be/H0Tx3cpKMkM?si=nPztt0hHJMwndVPE</t>
        </is>
      </c>
      <c r="D7" s="16" t="inlineStr">
        <is>
          <t xml:space="preserve">
2018 Aprilia SR125 - 5 Things you need to know | First Ride Review</t>
        </is>
      </c>
      <c r="E7" s="14" t="inlineStr">
        <is>
          <t>ZigWheels</t>
        </is>
      </c>
      <c r="F7" s="14" t="inlineStr">
        <is>
          <t>journalist</t>
        </is>
      </c>
      <c r="G7" s="14" t="inlineStr">
        <is>
          <t>English</t>
        </is>
      </c>
      <c r="H7" s="3" t="n">
        <v>394</v>
      </c>
      <c r="I7" s="11" t="n">
        <v>43170</v>
      </c>
      <c r="J7" s="12" t="n">
        <v>247486</v>
      </c>
      <c r="K7" s="2" t="inlineStr">
        <is>
          <t>Y</t>
        </is>
      </c>
      <c r="L7" s="2" t="inlineStr">
        <is>
          <t>done</t>
        </is>
      </c>
      <c r="M7" s="3" t="inlineStr">
        <is>
          <t>transcripts\aprilia_sr_125_standard.txt</t>
        </is>
      </c>
      <c r="N7" s="3" t="n"/>
      <c r="O7" s="3" t="n"/>
      <c r="P7" s="3" t="n"/>
      <c r="Q7" s="3" t="n"/>
      <c r="R7" s="3" t="n"/>
    </row>
    <row r="8" ht="27" customHeight="1">
      <c r="A8" s="2" t="inlineStr">
        <is>
          <t>aprilia_sr_160_standard</t>
        </is>
      </c>
      <c r="B8" s="15" t="inlineStr">
        <is>
          <t>pfXVF2LrK2TwSVht</t>
        </is>
      </c>
      <c r="C8" s="9" t="inlineStr">
        <is>
          <t>https://youtu.be/CsmsD8TQh1M?si=pfXVF2LrK2TwSVht</t>
        </is>
      </c>
      <c r="D8" s="16" t="inlineStr">
        <is>
          <t xml:space="preserve">
2021 Aprilia SR 160 | What You Should Know | First Ride Review | PowerDrift</t>
        </is>
      </c>
      <c r="E8" s="14" t="inlineStr">
        <is>
          <t>PowerDrift</t>
        </is>
      </c>
      <c r="F8" s="14" t="inlineStr">
        <is>
          <t>journalist</t>
        </is>
      </c>
      <c r="G8" s="14" t="inlineStr">
        <is>
          <t>English</t>
        </is>
      </c>
      <c r="H8" s="3" t="n">
        <v>352</v>
      </c>
      <c r="I8" s="11" t="n">
        <v>44528</v>
      </c>
      <c r="J8" s="12" t="n">
        <v>163394</v>
      </c>
      <c r="K8" s="2" t="inlineStr">
        <is>
          <t>Y</t>
        </is>
      </c>
      <c r="L8" s="2" t="inlineStr">
        <is>
          <t>done</t>
        </is>
      </c>
      <c r="M8" s="3" t="inlineStr">
        <is>
          <t>transcripts\aprilia_sr_160_standard.txt</t>
        </is>
      </c>
      <c r="N8" s="3" t="n"/>
      <c r="O8" s="3" t="n"/>
      <c r="P8" s="3" t="n"/>
      <c r="Q8" s="3" t="n"/>
      <c r="R8" s="3" t="n"/>
    </row>
    <row r="9">
      <c r="A9" s="2" t="inlineStr">
        <is>
          <t>aprilia_sxr_160_standard</t>
        </is>
      </c>
      <c r="B9" s="14" t="inlineStr">
        <is>
          <t>tE5uSnwpztT3sEbX</t>
        </is>
      </c>
      <c r="C9" s="9" t="inlineStr">
        <is>
          <t>https://youtu.be/RBbtw5cgY6Q?si=tE5uSnwpztT3sEbX</t>
        </is>
      </c>
      <c r="D9" s="14" t="inlineStr">
        <is>
          <t>2020 Aprilia SXR 160 review - Maxi impact | First Ride | Autocar India</t>
        </is>
      </c>
      <c r="E9" s="14" t="inlineStr">
        <is>
          <t>Autocar India</t>
        </is>
      </c>
      <c r="F9" s="14" t="inlineStr">
        <is>
          <t>journalist</t>
        </is>
      </c>
      <c r="G9" s="14" t="inlineStr">
        <is>
          <t>English</t>
        </is>
      </c>
      <c r="H9" s="3" t="n">
        <v>506</v>
      </c>
      <c r="I9" s="11" t="n">
        <v>44186</v>
      </c>
      <c r="J9" s="12" t="n">
        <v>343694</v>
      </c>
      <c r="K9" s="2" t="inlineStr">
        <is>
          <t>Y</t>
        </is>
      </c>
      <c r="L9" s="2" t="inlineStr">
        <is>
          <t>done</t>
        </is>
      </c>
      <c r="M9" s="3" t="inlineStr">
        <is>
          <t>transcripts\aprilia_sxr_160_standard.txt</t>
        </is>
      </c>
      <c r="N9" s="3" t="n"/>
      <c r="O9" s="3" t="n"/>
      <c r="P9" s="3" t="n"/>
      <c r="Q9" s="3" t="n"/>
      <c r="R9" s="3" t="n"/>
    </row>
    <row r="10">
      <c r="A10" s="17" t="inlineStr">
        <is>
          <t>bajaj_ct_110x_standard</t>
        </is>
      </c>
      <c r="B10" s="14" t="inlineStr">
        <is>
          <t>ObNmu-MPdsb9ydgv</t>
        </is>
      </c>
      <c r="C10" s="9" t="inlineStr">
        <is>
          <t>https://youtu.be/BgEbtgOoh74?si=ObNmu-MPdsb9ydgv</t>
        </is>
      </c>
      <c r="D10" s="14" t="inlineStr">
        <is>
          <t>Bajaj CT110 X BS6 - Detailed Review | Mileage | Comfort | Price | Rev Explorers</t>
        </is>
      </c>
      <c r="E10" s="14" t="inlineStr">
        <is>
          <t>Rev Explorers</t>
        </is>
      </c>
      <c r="F10" s="14" t="inlineStr">
        <is>
          <t>journalist</t>
        </is>
      </c>
      <c r="G10" s="14" t="inlineStr">
        <is>
          <t>English</t>
        </is>
      </c>
      <c r="H10" s="3" t="n">
        <v>568</v>
      </c>
      <c r="I10" s="11" t="n">
        <v>44398</v>
      </c>
      <c r="J10" s="12" t="n">
        <v>86546</v>
      </c>
      <c r="K10" s="2" t="inlineStr">
        <is>
          <t>Y</t>
        </is>
      </c>
      <c r="L10" s="2" t="inlineStr">
        <is>
          <t>done</t>
        </is>
      </c>
      <c r="M10" s="3" t="inlineStr">
        <is>
          <t>transcripts\bajaj_ct_110x_standard.txt</t>
        </is>
      </c>
      <c r="N10" s="3" t="n"/>
      <c r="O10" s="3" t="n"/>
      <c r="P10" s="3" t="n"/>
      <c r="Q10" s="3" t="n"/>
      <c r="R10" s="3" t="n"/>
    </row>
    <row r="11" ht="27" customHeight="1">
      <c r="A11" s="2" t="inlineStr">
        <is>
          <t>bajaj_platina_100_es_drum</t>
        </is>
      </c>
      <c r="B11" s="14" t="inlineStr">
        <is>
          <t>LTaVMgQo2bRbYTWj</t>
        </is>
      </c>
      <c r="C11" s="9" t="inlineStr">
        <is>
          <t>https://youtu.be/4CflawOlGvo?si=LTaVMgQo2bRbYTWj</t>
        </is>
      </c>
      <c r="D11" s="16" t="inlineStr">
        <is>
          <t xml:space="preserve">
MILEAGE KING | BAJAJ PLATINA 100 | DETAILED REVIEW</t>
        </is>
      </c>
      <c r="E11" s="14" t="inlineStr">
        <is>
          <t>REVSOUL</t>
        </is>
      </c>
      <c r="F11" s="14" t="inlineStr">
        <is>
          <t>journalist</t>
        </is>
      </c>
      <c r="G11" s="14" t="inlineStr">
        <is>
          <t>English</t>
        </is>
      </c>
      <c r="H11" s="3" t="n">
        <v>501</v>
      </c>
      <c r="I11" s="11" t="n">
        <v>46157</v>
      </c>
      <c r="J11" s="3" t="n">
        <v>666</v>
      </c>
      <c r="K11" s="2" t="inlineStr">
        <is>
          <t>Y</t>
        </is>
      </c>
      <c r="L11" s="2" t="inlineStr">
        <is>
          <t>done</t>
        </is>
      </c>
      <c r="M11" s="3" t="inlineStr">
        <is>
          <t>transcripts\bajaj_platina_100_es_drum.txt</t>
        </is>
      </c>
      <c r="N11" s="3" t="n"/>
      <c r="O11" s="3" t="n"/>
      <c r="P11" s="3" t="n"/>
      <c r="Q11" s="3" t="n"/>
      <c r="R11" s="3" t="n"/>
    </row>
    <row r="12" ht="27" customHeight="1">
      <c r="A12" s="2" t="inlineStr">
        <is>
          <t>bajaj_platina_110_abs</t>
        </is>
      </c>
      <c r="B12" s="15" t="inlineStr">
        <is>
          <t>tg9lq7b6zr05em_F</t>
        </is>
      </c>
      <c r="C12" s="9" t="inlineStr">
        <is>
          <t>https://youtu.be/NC_iCF-c65o?si=tg9lq7b6zr05em_F</t>
        </is>
      </c>
      <c r="D12" s="16" t="inlineStr">
        <is>
          <t xml:space="preserve">
2025 Bajaj Platina 110 FI Detailed Review | SR Motoworld</t>
        </is>
      </c>
      <c r="E12" s="14" t="inlineStr">
        <is>
          <t>SR Motoworld</t>
        </is>
      </c>
      <c r="F12" s="14" t="inlineStr">
        <is>
          <t>journalist</t>
        </is>
      </c>
      <c r="G12" s="14" t="inlineStr">
        <is>
          <t>Hindi</t>
        </is>
      </c>
      <c r="H12" s="3" t="n">
        <v>936</v>
      </c>
      <c r="I12" s="11" t="n">
        <v>45783</v>
      </c>
      <c r="J12" s="12" t="n">
        <v>109340</v>
      </c>
      <c r="K12" s="2" t="inlineStr">
        <is>
          <t>Y</t>
        </is>
      </c>
      <c r="L12" s="2" t="inlineStr">
        <is>
          <t>done</t>
        </is>
      </c>
      <c r="M12" s="3" t="inlineStr">
        <is>
          <t>transcripts\bajaj_platina_110_abs.txt</t>
        </is>
      </c>
      <c r="N12" s="3" t="n"/>
      <c r="O12" s="3" t="n"/>
      <c r="P12" s="3" t="n"/>
      <c r="Q12" s="3" t="n"/>
      <c r="R12" s="3" t="n"/>
    </row>
    <row r="13">
      <c r="A13" s="2" t="inlineStr">
        <is>
          <t>bajaj_freedom_125_cng_ng04_disc_led</t>
        </is>
      </c>
      <c r="B13" s="14" t="inlineStr">
        <is>
          <t>4tr3FePIzA0il1iX</t>
        </is>
      </c>
      <c r="C13" s="9" t="inlineStr">
        <is>
          <t>https://youtu.be/HkEpyVD1t3k?si=4tr3FePIzA0il1iX</t>
        </is>
      </c>
      <c r="D13" s="14" t="inlineStr">
        <is>
          <t>Bajaj Freedom 125 CNG - The Only Review You Need! | PowerDrift</t>
        </is>
      </c>
      <c r="E13" s="14" t="inlineStr">
        <is>
          <t>PowerDrift</t>
        </is>
      </c>
      <c r="F13" s="14" t="inlineStr">
        <is>
          <t>journalist</t>
        </is>
      </c>
      <c r="G13" s="14" t="inlineStr">
        <is>
          <t>English</t>
        </is>
      </c>
      <c r="H13" s="3" t="n">
        <v>750</v>
      </c>
      <c r="I13" s="11" t="n">
        <v>45487</v>
      </c>
      <c r="J13" s="12" t="n">
        <v>210345</v>
      </c>
      <c r="K13" s="2" t="inlineStr">
        <is>
          <t>Y</t>
        </is>
      </c>
      <c r="L13" s="2" t="inlineStr">
        <is>
          <t>done</t>
        </is>
      </c>
      <c r="M13" s="3" t="inlineStr">
        <is>
          <t>transcripts\bajaj_freedom_125_cng_ng04_disc_led.txt</t>
        </is>
      </c>
      <c r="N13" s="3" t="n"/>
      <c r="O13" s="3" t="n"/>
      <c r="P13" s="3" t="n"/>
      <c r="Q13" s="3" t="n"/>
      <c r="R13" s="3" t="n"/>
    </row>
    <row r="14" ht="40.2" customHeight="1">
      <c r="A14" s="2" t="inlineStr">
        <is>
          <t>bajaj_pulsar_125_carbon_single_seat</t>
        </is>
      </c>
      <c r="B14" s="14" t="inlineStr">
        <is>
          <t>jZMj9--hAXL313Is</t>
        </is>
      </c>
      <c r="C14" s="9" t="inlineStr">
        <is>
          <t>https://youtu.be/pu6PwreWdow?si=jZMj9--hAXL313Is</t>
        </is>
      </c>
      <c r="D14" s="16" t="inlineStr">
        <is>
          <t xml:space="preserve">
New Bajaj Pulsar 125 and 150 - The legend reimagined for 2026 | First Look | Autocar India</t>
        </is>
      </c>
      <c r="E14" s="14" t="inlineStr">
        <is>
          <t>Autocar India</t>
        </is>
      </c>
      <c r="F14" s="14" t="inlineStr">
        <is>
          <t>journalist</t>
        </is>
      </c>
      <c r="G14" s="14" t="inlineStr">
        <is>
          <t>English</t>
        </is>
      </c>
      <c r="H14" s="3" t="n"/>
      <c r="I14" s="3" t="n"/>
      <c r="J14" s="3" t="n"/>
      <c r="K14" s="2" t="inlineStr">
        <is>
          <t>Y</t>
        </is>
      </c>
      <c r="L14" s="2" t="inlineStr">
        <is>
          <t>done</t>
        </is>
      </c>
      <c r="M14" s="3" t="inlineStr">
        <is>
          <t>transcripts\bajaj_pulsar_125_carbon_single_seat.txt</t>
        </is>
      </c>
      <c r="N14" s="3" t="n"/>
      <c r="O14" s="3" t="n"/>
      <c r="P14" s="3" t="n"/>
      <c r="Q14" s="3" t="n"/>
      <c r="R14" s="3" t="n"/>
    </row>
    <row r="15">
      <c r="A15" s="2" t="inlineStr">
        <is>
          <t>bajaj_pulsar_n125_standard</t>
        </is>
      </c>
      <c r="B15" s="3" t="n"/>
      <c r="C15" s="9" t="inlineStr">
        <is>
          <t>https://youtu.be/6DC64U_myuU?si=H5Q0yR1I8_wfxQo_</t>
        </is>
      </c>
      <c r="D15" s="3" t="n"/>
      <c r="E15" s="3" t="n"/>
      <c r="F15" s="3" t="n"/>
      <c r="G15" s="3" t="n"/>
      <c r="H15" s="3" t="n"/>
      <c r="I15" s="3" t="n"/>
      <c r="J15" s="3" t="n"/>
      <c r="K15" s="2" t="inlineStr">
        <is>
          <t>Y</t>
        </is>
      </c>
      <c r="L15" s="2" t="inlineStr">
        <is>
          <t>done</t>
        </is>
      </c>
      <c r="M15" s="3" t="inlineStr">
        <is>
          <t>transcripts\bajaj_pulsar_n125_standard.txt</t>
        </is>
      </c>
      <c r="N15" s="3" t="n"/>
      <c r="O15" s="3" t="n"/>
      <c r="P15" s="3" t="n"/>
      <c r="Q15" s="3" t="n"/>
      <c r="R15" s="3" t="n"/>
    </row>
    <row r="16">
      <c r="A16" s="2" t="inlineStr">
        <is>
          <t>bajaj_pulsar_ns125_standard</t>
        </is>
      </c>
      <c r="B16" s="3" t="n"/>
      <c r="C16" s="9" t="inlineStr">
        <is>
          <t>https://youtu.be/GBSX_eF8WxM?si=DQ1ULpZ8FZd9Un7S</t>
        </is>
      </c>
      <c r="D16" s="3" t="n"/>
      <c r="E16" s="3" t="n"/>
      <c r="F16" s="3" t="n"/>
      <c r="G16" s="3" t="n"/>
      <c r="H16" s="3" t="n"/>
      <c r="I16" s="3" t="n"/>
      <c r="J16" s="3" t="n"/>
      <c r="K16" s="2" t="inlineStr">
        <is>
          <t>Y</t>
        </is>
      </c>
      <c r="L16" s="2" t="inlineStr">
        <is>
          <t>done</t>
        </is>
      </c>
      <c r="M16" s="3" t="inlineStr">
        <is>
          <t>transcripts\bajaj_pulsar_ns125_standard.txt</t>
        </is>
      </c>
      <c r="N16" s="3" t="n"/>
      <c r="O16" s="3" t="n"/>
      <c r="P16" s="3" t="n"/>
      <c r="Q16" s="3" t="n"/>
      <c r="R16" s="3" t="n"/>
    </row>
    <row r="17">
      <c r="A17" s="2" t="inlineStr">
        <is>
          <t>bajaj_pulsar_150_single_disc</t>
        </is>
      </c>
      <c r="B17" s="3" t="n"/>
      <c r="C17" s="9" t="inlineStr">
        <is>
          <t>https://youtu.be/WjducW5cC5Q?si=ltKubp2lwA67IyCx</t>
        </is>
      </c>
      <c r="D17" s="3" t="n"/>
      <c r="E17" s="3" t="n"/>
      <c r="F17" s="3" t="n"/>
      <c r="G17" s="3" t="n"/>
      <c r="H17" s="3" t="n"/>
      <c r="I17" s="3" t="n"/>
      <c r="J17" s="3" t="n"/>
      <c r="K17" s="2" t="inlineStr">
        <is>
          <t>Y</t>
        </is>
      </c>
      <c r="L17" s="2" t="inlineStr">
        <is>
          <t>done</t>
        </is>
      </c>
      <c r="M17" s="3" t="inlineStr">
        <is>
          <t>transcripts\bajaj_pulsar_150_single_disc.txt</t>
        </is>
      </c>
      <c r="N17" s="3" t="n"/>
      <c r="O17" s="3" t="n"/>
      <c r="P17" s="3" t="n"/>
      <c r="Q17" s="3" t="n"/>
      <c r="R17" s="3" t="n"/>
    </row>
    <row r="18">
      <c r="A18" s="2" t="inlineStr">
        <is>
          <t>bajaj_pulsar_n160_dual_channel_abs</t>
        </is>
      </c>
      <c r="B18" s="3" t="n"/>
      <c r="C18" s="9" t="inlineStr">
        <is>
          <t>https://youtu.be/6IbrAP24UbM?si=huQxN2GdHxckU4Uh</t>
        </is>
      </c>
      <c r="D18" s="3" t="n"/>
      <c r="E18" s="3" t="n"/>
      <c r="F18" s="3" t="n"/>
      <c r="G18" s="3" t="n"/>
      <c r="H18" s="3" t="n"/>
      <c r="I18" s="3" t="n"/>
      <c r="J18" s="3" t="n"/>
      <c r="K18" s="2" t="inlineStr">
        <is>
          <t>Y</t>
        </is>
      </c>
      <c r="L18" s="2" t="inlineStr">
        <is>
          <t>done</t>
        </is>
      </c>
      <c r="M18" s="3" t="inlineStr">
        <is>
          <t>transcripts\bajaj_pulsar_n160_dual_channel_abs.txt</t>
        </is>
      </c>
      <c r="N18" s="3" t="n"/>
      <c r="O18" s="3" t="n"/>
      <c r="P18" s="3" t="n"/>
      <c r="Q18" s="3" t="n"/>
      <c r="R18" s="3" t="n"/>
    </row>
    <row r="19">
      <c r="A19" s="2" t="inlineStr">
        <is>
          <t>bajaj_pulsar_ns160_dual_channel_abs</t>
        </is>
      </c>
      <c r="B19" s="3" t="n"/>
      <c r="C19" s="9" t="inlineStr">
        <is>
          <t>https://youtu.be/fw1D12pgfnw?si=7SwfR9wylNc4rkIP</t>
        </is>
      </c>
      <c r="D19" s="3" t="n"/>
      <c r="E19" s="3" t="n"/>
      <c r="F19" s="3" t="n"/>
      <c r="G19" s="3" t="n"/>
      <c r="H19" s="3" t="n"/>
      <c r="I19" s="3" t="n"/>
      <c r="J19" s="3" t="n"/>
      <c r="K19" s="2" t="inlineStr">
        <is>
          <t>Y</t>
        </is>
      </c>
      <c r="L19" s="2" t="inlineStr">
        <is>
          <t>done</t>
        </is>
      </c>
      <c r="M19" s="3" t="inlineStr">
        <is>
          <t>transcripts\bajaj_pulsar_ns160_dual_channel_abs.txt</t>
        </is>
      </c>
      <c r="N19" s="3" t="n"/>
      <c r="O19" s="3" t="n"/>
      <c r="P19" s="3" t="n"/>
      <c r="Q19" s="3" t="n"/>
      <c r="R19" s="3" t="n"/>
    </row>
    <row r="20">
      <c r="A20" s="2" t="inlineStr">
        <is>
          <t>bajaj_pulsar_220f_standard</t>
        </is>
      </c>
      <c r="B20" s="3" t="n"/>
      <c r="C20" s="9" t="inlineStr">
        <is>
          <t>https://youtu.be/T6suU5PHsoY?si=UAaYq1gQC6soDu8V</t>
        </is>
      </c>
      <c r="D20" s="3" t="n"/>
      <c r="E20" s="3" t="n"/>
      <c r="F20" s="3" t="n"/>
      <c r="G20" s="3" t="n"/>
      <c r="H20" s="3" t="n"/>
      <c r="I20" s="3" t="n"/>
      <c r="J20" s="3" t="n"/>
      <c r="K20" s="2" t="inlineStr">
        <is>
          <t>Y</t>
        </is>
      </c>
      <c r="L20" s="2" t="inlineStr">
        <is>
          <t>done</t>
        </is>
      </c>
      <c r="M20" s="3" t="inlineStr">
        <is>
          <t>transcripts\bajaj_pulsar_220f_standard.txt</t>
        </is>
      </c>
      <c r="N20" s="3" t="n"/>
      <c r="O20" s="3" t="n"/>
      <c r="P20" s="3" t="n"/>
      <c r="Q20" s="3" t="n"/>
      <c r="R20" s="3" t="n"/>
    </row>
    <row r="21">
      <c r="A21" s="2" t="inlineStr">
        <is>
          <t>bajaj_pulsar_n250_standard</t>
        </is>
      </c>
      <c r="B21" s="3" t="n"/>
      <c r="C21" s="9" t="inlineStr">
        <is>
          <t>https://youtu.be/nn49ocqTrFg?si=Z5sEeIv2_q_8WcWi</t>
        </is>
      </c>
      <c r="D21" s="3" t="n"/>
      <c r="E21" s="3" t="n"/>
      <c r="F21" s="3" t="n"/>
      <c r="G21" s="3" t="n"/>
      <c r="H21" s="3" t="n"/>
      <c r="I21" s="3" t="n"/>
      <c r="J21" s="3" t="n"/>
      <c r="K21" s="2" t="inlineStr">
        <is>
          <t>Y</t>
        </is>
      </c>
      <c r="L21" s="2" t="inlineStr">
        <is>
          <t>done</t>
        </is>
      </c>
      <c r="M21" s="3" t="inlineStr">
        <is>
          <t>transcripts\bajaj_pulsar_n250_standard.txt</t>
        </is>
      </c>
      <c r="N21" s="3" t="n"/>
      <c r="O21" s="3" t="n"/>
      <c r="P21" s="3" t="n"/>
      <c r="Q21" s="3" t="n"/>
      <c r="R21" s="3" t="n"/>
    </row>
    <row r="22">
      <c r="A22" s="2" t="inlineStr">
        <is>
          <t>bajaj_pulsar_ns200_dual_channel_abs</t>
        </is>
      </c>
      <c r="B22" s="3" t="n"/>
      <c r="C22" s="9" t="inlineStr">
        <is>
          <t>https://youtu.be/CI4V3zELoVU?si=cUjM1z43onT7-j1_</t>
        </is>
      </c>
      <c r="D22" s="3" t="n"/>
      <c r="E22" s="3" t="n"/>
      <c r="F22" s="3" t="n"/>
      <c r="G22" s="3" t="n"/>
      <c r="H22" s="3" t="n"/>
      <c r="I22" s="3" t="n"/>
      <c r="J22" s="3" t="n"/>
      <c r="K22" s="2" t="inlineStr">
        <is>
          <t>Y</t>
        </is>
      </c>
      <c r="L22" s="2" t="inlineStr">
        <is>
          <t>done</t>
        </is>
      </c>
      <c r="M22" s="3" t="inlineStr">
        <is>
          <t>transcripts\bajaj_pulsar_ns200_dual_channel_abs.txt</t>
        </is>
      </c>
      <c r="N22" s="3" t="n"/>
      <c r="O22" s="3" t="n"/>
      <c r="P22" s="3" t="n"/>
      <c r="Q22" s="3" t="n"/>
      <c r="R22" s="3" t="n"/>
    </row>
    <row r="23">
      <c r="A23" s="2" t="inlineStr">
        <is>
          <t>bajaj_pulsar_rs200_dual_channel_abs</t>
        </is>
      </c>
      <c r="B23" s="3" t="n"/>
      <c r="C23" s="9" t="inlineStr">
        <is>
          <t>https://youtu.be/N1ERYf8d-Gw?si=z7uS1G21wnWunYEY</t>
        </is>
      </c>
      <c r="D23" s="3" t="n"/>
      <c r="E23" s="3" t="n"/>
      <c r="F23" s="3" t="n"/>
      <c r="G23" s="3" t="n"/>
      <c r="H23" s="3" t="n"/>
      <c r="I23" s="3" t="n"/>
      <c r="J23" s="3" t="n"/>
      <c r="K23" s="2" t="inlineStr">
        <is>
          <t>Y</t>
        </is>
      </c>
      <c r="L23" s="2" t="inlineStr">
        <is>
          <t>done</t>
        </is>
      </c>
      <c r="M23" s="3" t="inlineStr">
        <is>
          <t>transcripts\bajaj_pulsar_rs200_dual_channel_abs.txt</t>
        </is>
      </c>
      <c r="N23" s="3" t="n"/>
      <c r="O23" s="3" t="n"/>
      <c r="P23" s="3" t="n"/>
      <c r="Q23" s="3" t="n"/>
      <c r="R23" s="3" t="n"/>
    </row>
    <row r="24">
      <c r="A24" s="2" t="inlineStr">
        <is>
          <t>bajaj_pulsar_ns400z_standard</t>
        </is>
      </c>
      <c r="B24" s="3" t="n"/>
      <c r="C24" s="9" t="inlineStr">
        <is>
          <t>https://youtu.be/tX6b4cYI9rk?si=6_WYw_e0j-zzy5ng</t>
        </is>
      </c>
      <c r="D24" s="3" t="n"/>
      <c r="E24" s="3" t="n"/>
      <c r="F24" s="3" t="n"/>
      <c r="G24" s="3" t="n"/>
      <c r="H24" s="3" t="n"/>
      <c r="I24" s="3" t="n"/>
      <c r="J24" s="3" t="n"/>
      <c r="K24" s="2" t="inlineStr">
        <is>
          <t>Y</t>
        </is>
      </c>
      <c r="L24" s="2" t="inlineStr">
        <is>
          <t>done</t>
        </is>
      </c>
      <c r="M24" s="3" t="inlineStr">
        <is>
          <t>transcripts\bajaj_pulsar_ns400z_standard.txt</t>
        </is>
      </c>
      <c r="N24" s="3" t="n"/>
      <c r="O24" s="3" t="n"/>
      <c r="P24" s="3" t="n"/>
      <c r="Q24" s="3" t="n"/>
      <c r="R24" s="3" t="n"/>
    </row>
    <row r="25">
      <c r="A25" s="2" t="inlineStr">
        <is>
          <t>bajaj_avenger_street_160_standard</t>
        </is>
      </c>
      <c r="B25" s="3" t="n"/>
      <c r="C25" s="9" t="inlineStr">
        <is>
          <t>https://youtu.be/f_08zAzXUnU?si=EPy0Ga549QiXKBca</t>
        </is>
      </c>
      <c r="D25" s="3" t="n"/>
      <c r="E25" s="3" t="n"/>
      <c r="F25" s="3" t="n"/>
      <c r="G25" s="3" t="n"/>
      <c r="H25" s="3" t="n"/>
      <c r="I25" s="3" t="n"/>
      <c r="J25" s="3" t="n"/>
      <c r="K25" s="2" t="inlineStr">
        <is>
          <t>Y</t>
        </is>
      </c>
      <c r="L25" s="2" t="inlineStr">
        <is>
          <t>done</t>
        </is>
      </c>
      <c r="M25" s="3" t="inlineStr">
        <is>
          <t>transcripts\bajaj_avenger_street_160_standard.txt</t>
        </is>
      </c>
      <c r="N25" s="3" t="n"/>
      <c r="O25" s="3" t="n"/>
      <c r="P25" s="3" t="n"/>
      <c r="Q25" s="3" t="n"/>
      <c r="R25" s="3" t="n"/>
    </row>
    <row r="26">
      <c r="A26" s="2" t="inlineStr">
        <is>
          <t>bajaj_avenger_cruise_220_standard</t>
        </is>
      </c>
      <c r="B26" s="3" t="n"/>
      <c r="C26" s="9" t="inlineStr">
        <is>
          <t>https://youtu.be/z3JxRLUQd6E?si=P8KW_JMiGwZbS5yE</t>
        </is>
      </c>
      <c r="D26" s="3" t="n"/>
      <c r="E26" s="3" t="n"/>
      <c r="F26" s="3" t="n"/>
      <c r="G26" s="3" t="n"/>
      <c r="H26" s="3" t="n"/>
      <c r="I26" s="3" t="n"/>
      <c r="J26" s="3" t="n"/>
      <c r="K26" s="2" t="inlineStr">
        <is>
          <t>Y</t>
        </is>
      </c>
      <c r="L26" s="2" t="inlineStr">
        <is>
          <t>done</t>
        </is>
      </c>
      <c r="M26" s="3" t="inlineStr">
        <is>
          <t>transcripts\bajaj_avenger_cruise_220_standard.txt</t>
        </is>
      </c>
      <c r="N26" s="3" t="n"/>
      <c r="O26" s="3" t="n"/>
      <c r="P26" s="3" t="n"/>
      <c r="Q26" s="3" t="n"/>
      <c r="R26" s="3" t="n"/>
    </row>
    <row r="27">
      <c r="A27" s="2" t="inlineStr">
        <is>
          <t>bajaj_dominar_250_standard</t>
        </is>
      </c>
      <c r="B27" s="3" t="n"/>
      <c r="C27" s="9" t="inlineStr">
        <is>
          <t>https://youtu.be/_lgO3D7X748?si=NTW5kpFNdx1SG3bc</t>
        </is>
      </c>
      <c r="D27" s="3" t="n"/>
      <c r="E27" s="3" t="n"/>
      <c r="F27" s="3" t="n"/>
      <c r="G27" s="3" t="n"/>
      <c r="H27" s="3" t="n"/>
      <c r="I27" s="3" t="n"/>
      <c r="J27" s="3" t="n"/>
      <c r="K27" s="2" t="inlineStr">
        <is>
          <t>Y</t>
        </is>
      </c>
      <c r="L27" s="2" t="inlineStr">
        <is>
          <t>done</t>
        </is>
      </c>
      <c r="M27" s="3" t="inlineStr">
        <is>
          <t>transcripts\bajaj_dominar_250_standard.txt</t>
        </is>
      </c>
      <c r="N27" s="3" t="n"/>
      <c r="O27" s="3" t="n"/>
      <c r="P27" s="3" t="n"/>
      <c r="Q27" s="3" t="n"/>
      <c r="R27" s="3" t="n"/>
    </row>
    <row r="28">
      <c r="A28" s="2" t="inlineStr">
        <is>
          <t>bajaj_dominar_400_standard</t>
        </is>
      </c>
      <c r="B28" s="3" t="n"/>
      <c r="C28" s="9" t="inlineStr">
        <is>
          <t>https://youtu.be/d8Y9OQkTYVk?si=lIS79q9Cyjy3ukBE</t>
        </is>
      </c>
      <c r="D28" s="3" t="n"/>
      <c r="E28" s="3" t="n"/>
      <c r="F28" s="3" t="n"/>
      <c r="G28" s="3" t="n"/>
      <c r="H28" s="3" t="n"/>
      <c r="I28" s="3" t="n"/>
      <c r="J28" s="3" t="n"/>
      <c r="K28" s="2" t="inlineStr">
        <is>
          <t>Y</t>
        </is>
      </c>
      <c r="L28" s="2" t="inlineStr">
        <is>
          <t>done</t>
        </is>
      </c>
      <c r="M28" s="3" t="inlineStr">
        <is>
          <t>transcripts\bajaj_dominar_400_standard.txt</t>
        </is>
      </c>
      <c r="N28" s="3" t="n"/>
      <c r="O28" s="3" t="n"/>
      <c r="P28" s="3" t="n"/>
      <c r="Q28" s="3" t="n"/>
      <c r="R28" s="3" t="n"/>
    </row>
    <row r="29">
      <c r="A29" s="2" t="inlineStr">
        <is>
          <t>benelli_imperiale_400_standard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2" t="inlineStr">
        <is>
          <t>Y</t>
        </is>
      </c>
      <c r="L29" s="2" t="inlineStr">
        <is>
          <t>pending</t>
        </is>
      </c>
      <c r="M29" s="3" t="n"/>
      <c r="N29" s="3" t="n"/>
      <c r="O29" s="3" t="n"/>
      <c r="P29" s="3" t="n"/>
      <c r="Q29" s="3" t="n"/>
      <c r="R29" s="3" t="n"/>
    </row>
    <row r="30">
      <c r="A30" s="2" t="inlineStr">
        <is>
          <t>benelli_trk_251_standard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2" t="inlineStr">
        <is>
          <t>Y</t>
        </is>
      </c>
      <c r="L30" s="2" t="inlineStr">
        <is>
          <t>pending</t>
        </is>
      </c>
      <c r="M30" s="3" t="n"/>
      <c r="N30" s="3" t="n"/>
      <c r="O30" s="3" t="n"/>
      <c r="P30" s="3" t="n"/>
      <c r="Q30" s="3" t="n"/>
      <c r="R30" s="3" t="n"/>
    </row>
    <row r="31">
      <c r="A31" s="2" t="inlineStr">
        <is>
          <t>benelli_trk_502_std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2" t="inlineStr">
        <is>
          <t>Y</t>
        </is>
      </c>
      <c r="L31" s="2" t="inlineStr">
        <is>
          <t>pending</t>
        </is>
      </c>
      <c r="M31" s="3" t="n"/>
      <c r="N31" s="3" t="n"/>
      <c r="O31" s="3" t="n"/>
      <c r="P31" s="3" t="n"/>
      <c r="Q31" s="3" t="n"/>
      <c r="R31" s="3" t="n"/>
    </row>
    <row r="32">
      <c r="A32" s="2" t="inlineStr">
        <is>
          <t>benelli_trk_502x_standard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2" t="inlineStr">
        <is>
          <t>Y</t>
        </is>
      </c>
      <c r="L32" s="2" t="inlineStr">
        <is>
          <t>pending</t>
        </is>
      </c>
      <c r="M32" s="3" t="n"/>
      <c r="N32" s="3" t="n"/>
      <c r="O32" s="3" t="n"/>
      <c r="P32" s="3" t="n"/>
      <c r="Q32" s="3" t="n"/>
      <c r="R32" s="3" t="n"/>
    </row>
    <row r="33">
      <c r="A33" s="2" t="inlineStr">
        <is>
          <t>benelli_leoncino_500_standard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2" t="inlineStr">
        <is>
          <t>Y</t>
        </is>
      </c>
      <c r="L33" s="2" t="inlineStr">
        <is>
          <t>pending</t>
        </is>
      </c>
      <c r="M33" s="3" t="n"/>
      <c r="N33" s="3" t="n"/>
      <c r="O33" s="3" t="n"/>
      <c r="P33" s="3" t="n"/>
      <c r="Q33" s="3" t="n"/>
      <c r="R33" s="3" t="n"/>
    </row>
    <row r="34">
      <c r="A34" s="2" t="inlineStr">
        <is>
          <t>benelli_502c_standard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2" t="inlineStr">
        <is>
          <t>Y</t>
        </is>
      </c>
      <c r="L34" s="2" t="inlineStr">
        <is>
          <t>pending</t>
        </is>
      </c>
      <c r="M34" s="3" t="n"/>
      <c r="N34" s="3" t="n"/>
      <c r="O34" s="3" t="n"/>
      <c r="P34" s="3" t="n"/>
      <c r="Q34" s="3" t="n"/>
      <c r="R34" s="3" t="n"/>
    </row>
    <row r="35">
      <c r="A35" s="2" t="inlineStr">
        <is>
          <t>bmw_motorrad_g_310_r_standard</t>
        </is>
      </c>
      <c r="B35" s="3" t="n"/>
      <c r="C35" s="9" t="inlineStr">
        <is>
          <t>https://youtu.be/IEFbORGxsjA?si=IKppLxVbGK0fSLqv</t>
        </is>
      </c>
      <c r="D35" s="3" t="n"/>
      <c r="E35" s="3" t="n"/>
      <c r="F35" s="3" t="n"/>
      <c r="G35" s="3" t="n"/>
      <c r="H35" s="3" t="n"/>
      <c r="I35" s="3" t="n"/>
      <c r="J35" s="3" t="n"/>
      <c r="K35" s="2" t="inlineStr">
        <is>
          <t>Y</t>
        </is>
      </c>
      <c r="L35" s="2" t="inlineStr">
        <is>
          <t>done</t>
        </is>
      </c>
      <c r="M35" s="3" t="inlineStr">
        <is>
          <t>transcripts\bmw_motorrad_g_310_r_standard.txt</t>
        </is>
      </c>
      <c r="N35" s="3" t="n"/>
      <c r="O35" s="3" t="n"/>
      <c r="P35" s="3" t="n"/>
      <c r="Q35" s="3" t="n"/>
      <c r="R35" s="3" t="n"/>
    </row>
    <row r="36">
      <c r="A36" s="2" t="inlineStr">
        <is>
          <t>bmw_motorrad_g_310_gs_standard</t>
        </is>
      </c>
      <c r="B36" s="3" t="n"/>
      <c r="C36" s="9" t="inlineStr">
        <is>
          <t>https://youtu.be/PgqaOOQh6oQ?si=yAjg5gcgc1yZweBY</t>
        </is>
      </c>
      <c r="D36" s="3" t="n"/>
      <c r="E36" s="3" t="n"/>
      <c r="F36" s="3" t="n"/>
      <c r="G36" s="3" t="n"/>
      <c r="H36" s="3" t="n"/>
      <c r="I36" s="3" t="n"/>
      <c r="J36" s="3" t="n"/>
      <c r="K36" s="2" t="inlineStr">
        <is>
          <t>Y</t>
        </is>
      </c>
      <c r="L36" s="2" t="inlineStr">
        <is>
          <t>done</t>
        </is>
      </c>
      <c r="M36" s="3" t="inlineStr">
        <is>
          <t>transcripts\bmw_motorrad_g_310_gs_standard.txt</t>
        </is>
      </c>
      <c r="N36" s="3" t="n"/>
      <c r="O36" s="3" t="n"/>
      <c r="P36" s="3" t="n"/>
      <c r="Q36" s="3" t="n"/>
      <c r="R36" s="3" t="n"/>
    </row>
    <row r="37">
      <c r="A37" s="2" t="inlineStr">
        <is>
          <t>bmw_motorrad_g_310_rr_standard</t>
        </is>
      </c>
      <c r="B37" s="3" t="n"/>
      <c r="C37" s="9" t="inlineStr">
        <is>
          <t>https://youtu.be/RtmRTBCBfOE?si=YJ4fV5nX-KL9SzYu</t>
        </is>
      </c>
      <c r="D37" s="3" t="n"/>
      <c r="E37" s="3" t="n"/>
      <c r="F37" s="3" t="n"/>
      <c r="G37" s="3" t="n"/>
      <c r="H37" s="3" t="n"/>
      <c r="I37" s="3" t="n"/>
      <c r="J37" s="3" t="n"/>
      <c r="K37" s="2" t="inlineStr">
        <is>
          <t>Y</t>
        </is>
      </c>
      <c r="L37" s="2" t="inlineStr">
        <is>
          <t>done</t>
        </is>
      </c>
      <c r="M37" s="3" t="inlineStr">
        <is>
          <t>transcripts\bmw_motorrad_g_310_rr_standard.txt</t>
        </is>
      </c>
      <c r="N37" s="3" t="n"/>
      <c r="O37" s="3" t="n"/>
      <c r="P37" s="3" t="n"/>
      <c r="Q37" s="3" t="n"/>
      <c r="R37" s="3" t="n"/>
    </row>
    <row r="38">
      <c r="A38" s="2" t="inlineStr">
        <is>
          <t>bmw_motorrad_f_900_xr_standard</t>
        </is>
      </c>
      <c r="B38" s="3" t="n"/>
      <c r="C38" s="9" t="inlineStr">
        <is>
          <t>https://youtu.be/JVviu6Q6sn4?si=wcWX8-vZrpTNoOl7</t>
        </is>
      </c>
      <c r="D38" s="3" t="n"/>
      <c r="E38" s="3" t="n"/>
      <c r="F38" s="3" t="n"/>
      <c r="G38" s="3" t="n"/>
      <c r="H38" s="3" t="n"/>
      <c r="I38" s="3" t="n"/>
      <c r="J38" s="3" t="n"/>
      <c r="K38" s="2" t="inlineStr">
        <is>
          <t>Y</t>
        </is>
      </c>
      <c r="L38" s="2" t="inlineStr">
        <is>
          <t>done</t>
        </is>
      </c>
      <c r="M38" s="3" t="inlineStr">
        <is>
          <t>transcripts\bmw_motorrad_f_900_xr_standard.txt</t>
        </is>
      </c>
      <c r="N38" s="3" t="n"/>
      <c r="O38" s="3" t="n"/>
      <c r="P38" s="3" t="n"/>
      <c r="Q38" s="3" t="n"/>
      <c r="R38" s="3" t="n"/>
    </row>
    <row r="39">
      <c r="A39" s="2" t="inlineStr">
        <is>
          <t>bmw_motorrad_s_1000_rr_standard</t>
        </is>
      </c>
      <c r="B39" s="3" t="n"/>
      <c r="C39" s="9" t="inlineStr">
        <is>
          <t>https://youtu.be/3UB4YSzkRG8?si=vWfk8KytFrxTCLNv</t>
        </is>
      </c>
      <c r="D39" s="3" t="n"/>
      <c r="E39" s="3" t="n"/>
      <c r="F39" s="3" t="n"/>
      <c r="G39" s="3" t="n"/>
      <c r="H39" s="3" t="n"/>
      <c r="I39" s="3" t="n"/>
      <c r="J39" s="3" t="n"/>
      <c r="K39" s="2" t="inlineStr">
        <is>
          <t>Y</t>
        </is>
      </c>
      <c r="L39" s="2" t="inlineStr">
        <is>
          <t>done</t>
        </is>
      </c>
      <c r="M39" s="3" t="inlineStr">
        <is>
          <t>transcripts\bmw_motorrad_s_1000_rr_standard.txt</t>
        </is>
      </c>
      <c r="N39" s="3" t="n"/>
      <c r="O39" s="3" t="n"/>
      <c r="P39" s="3" t="n"/>
      <c r="Q39" s="3" t="n"/>
      <c r="R39" s="3" t="n"/>
    </row>
    <row r="40">
      <c r="A40" s="2" t="inlineStr">
        <is>
          <t>bmw_motorrad_s_1000_xr_standard</t>
        </is>
      </c>
      <c r="B40" s="3" t="n"/>
      <c r="C40" s="9" t="inlineStr">
        <is>
          <t>https://youtu.be/poCotQmZVwk?si=v2IvNENsiprlvle-</t>
        </is>
      </c>
      <c r="D40" s="3" t="n"/>
      <c r="E40" s="3" t="n"/>
      <c r="F40" s="3" t="n"/>
      <c r="G40" s="3" t="n"/>
      <c r="H40" s="3" t="n"/>
      <c r="I40" s="3" t="n"/>
      <c r="J40" s="3" t="n"/>
      <c r="K40" s="2" t="inlineStr">
        <is>
          <t>Y</t>
        </is>
      </c>
      <c r="L40" s="2" t="inlineStr">
        <is>
          <t>done</t>
        </is>
      </c>
      <c r="M40" s="3" t="inlineStr">
        <is>
          <t>transcripts\bmw_motorrad_s_1000_xr_standard.txt</t>
        </is>
      </c>
      <c r="N40" s="3" t="n"/>
      <c r="O40" s="3" t="n"/>
      <c r="P40" s="3" t="n"/>
      <c r="Q40" s="3" t="n"/>
      <c r="R40" s="3" t="n"/>
    </row>
    <row r="41">
      <c r="A41" s="2" t="inlineStr">
        <is>
          <t>bmw_motorrad_m_1000_rr_standard</t>
        </is>
      </c>
      <c r="B41" s="3" t="n"/>
      <c r="C41" s="9" t="inlineStr">
        <is>
          <t>https://youtu.be/JJ_MoPRSidQ?si=ZSjSZhxfhUpzoLI8</t>
        </is>
      </c>
      <c r="D41" s="3" t="n"/>
      <c r="E41" s="3" t="n"/>
      <c r="F41" s="3" t="n"/>
      <c r="G41" s="3" t="n"/>
      <c r="H41" s="3" t="n"/>
      <c r="I41" s="3" t="n"/>
      <c r="J41" s="3" t="n"/>
      <c r="K41" s="2" t="inlineStr">
        <is>
          <t>Y</t>
        </is>
      </c>
      <c r="L41" s="2" t="inlineStr">
        <is>
          <t>done</t>
        </is>
      </c>
      <c r="M41" s="3" t="inlineStr">
        <is>
          <t>transcripts\bmw_motorrad_m_1000_rr_standard.txt</t>
        </is>
      </c>
      <c r="N41" s="3" t="n"/>
      <c r="O41" s="3" t="n"/>
      <c r="P41" s="3" t="n"/>
      <c r="Q41" s="3" t="n"/>
      <c r="R41" s="3" t="n"/>
    </row>
    <row r="42">
      <c r="A42" s="2" t="inlineStr">
        <is>
          <t>bmw_motorrad_r_1250_gs_standard</t>
        </is>
      </c>
      <c r="B42" s="3" t="n"/>
      <c r="C42" s="9" t="inlineStr">
        <is>
          <t>https://youtu.be/r0L2zWrQjCM?si=yHr_y-HwhQjYdvqD</t>
        </is>
      </c>
      <c r="D42" s="3" t="n"/>
      <c r="E42" s="3" t="n"/>
      <c r="F42" s="3" t="n"/>
      <c r="G42" s="3" t="n"/>
      <c r="H42" s="3" t="n"/>
      <c r="I42" s="3" t="n"/>
      <c r="J42" s="3" t="n"/>
      <c r="K42" s="2" t="inlineStr">
        <is>
          <t>Y</t>
        </is>
      </c>
      <c r="L42" s="2" t="inlineStr">
        <is>
          <t>done</t>
        </is>
      </c>
      <c r="M42" s="3" t="inlineStr">
        <is>
          <t>transcripts\bmw_motorrad_r_1250_gs_standard.txt</t>
        </is>
      </c>
      <c r="N42" s="3" t="n"/>
      <c r="O42" s="3" t="n"/>
      <c r="P42" s="3" t="n"/>
      <c r="Q42" s="3" t="n"/>
      <c r="R42" s="3" t="n"/>
    </row>
    <row r="43">
      <c r="A43" s="2" t="inlineStr">
        <is>
          <t>bmw_motorrad_r_1300_gs_standard</t>
        </is>
      </c>
      <c r="B43" s="3" t="n"/>
      <c r="C43" s="9" t="inlineStr">
        <is>
          <t>https://youtu.be/AR3tTRIPUAU?si=db9eOSx-64Sq5Qpo</t>
        </is>
      </c>
      <c r="D43" s="3" t="n"/>
      <c r="E43" s="3" t="n"/>
      <c r="F43" s="3" t="n"/>
      <c r="G43" s="3" t="n"/>
      <c r="H43" s="3" t="n"/>
      <c r="I43" s="3" t="n"/>
      <c r="J43" s="3" t="n"/>
      <c r="K43" s="2" t="inlineStr">
        <is>
          <t>Y</t>
        </is>
      </c>
      <c r="L43" s="2" t="inlineStr">
        <is>
          <t>done</t>
        </is>
      </c>
      <c r="M43" s="3" t="inlineStr">
        <is>
          <t>transcripts\bmw_motorrad_r_1300_gs_standard.txt</t>
        </is>
      </c>
      <c r="N43" s="3" t="n"/>
      <c r="O43" s="3" t="n"/>
      <c r="P43" s="3" t="n"/>
      <c r="Q43" s="3" t="n"/>
      <c r="R43" s="3" t="n"/>
    </row>
    <row r="44">
      <c r="A44" s="2" t="inlineStr">
        <is>
          <t>bmw_motorrad_r_18_standard</t>
        </is>
      </c>
      <c r="B44" s="3" t="n"/>
      <c r="C44" s="9" t="inlineStr">
        <is>
          <t>https://youtu.be/3KgjWedqsAc?si=8A4UITumvKwkIPat</t>
        </is>
      </c>
      <c r="D44" s="3" t="n"/>
      <c r="E44" s="3" t="n"/>
      <c r="F44" s="3" t="n"/>
      <c r="G44" s="3" t="n"/>
      <c r="H44" s="3" t="n"/>
      <c r="I44" s="3" t="n"/>
      <c r="J44" s="3" t="n"/>
      <c r="K44" s="2" t="inlineStr">
        <is>
          <t>Y</t>
        </is>
      </c>
      <c r="L44" s="2" t="inlineStr">
        <is>
          <t>done</t>
        </is>
      </c>
      <c r="M44" s="3" t="inlineStr">
        <is>
          <t>transcripts\bmw_motorrad_r_18_standard.txt</t>
        </is>
      </c>
      <c r="N44" s="3" t="n"/>
      <c r="O44" s="3" t="n"/>
      <c r="P44" s="3" t="n"/>
      <c r="Q44" s="3" t="n"/>
      <c r="R44" s="3" t="n"/>
    </row>
    <row r="45">
      <c r="A45" s="2" t="inlineStr">
        <is>
          <t>bmw_motorrad_ce_04_standard</t>
        </is>
      </c>
      <c r="B45" s="3" t="n"/>
      <c r="C45" s="9" t="inlineStr">
        <is>
          <t>https://youtu.be/o3bBR7rn0dE?si=S2d8hvM8nZ-u6yIN</t>
        </is>
      </c>
      <c r="D45" s="3" t="n"/>
      <c r="E45" s="3" t="n"/>
      <c r="F45" s="3" t="n"/>
      <c r="G45" s="3" t="n"/>
      <c r="H45" s="3" t="n"/>
      <c r="I45" s="3" t="n"/>
      <c r="J45" s="3" t="n"/>
      <c r="K45" s="2" t="inlineStr">
        <is>
          <t>Y</t>
        </is>
      </c>
      <c r="L45" s="2" t="inlineStr">
        <is>
          <t>done</t>
        </is>
      </c>
      <c r="M45" s="3" t="inlineStr">
        <is>
          <t>transcripts\bmw_motorrad_ce_04_standard.txt</t>
        </is>
      </c>
      <c r="N45" s="3" t="n"/>
      <c r="O45" s="3" t="n"/>
      <c r="P45" s="3" t="n"/>
      <c r="Q45" s="3" t="n"/>
      <c r="R45" s="3" t="n"/>
    </row>
    <row r="46">
      <c r="A46" s="2" t="inlineStr">
        <is>
          <t>brixton_motorcycles_crossfire_500_x_standard</t>
        </is>
      </c>
      <c r="B46" s="3" t="n"/>
      <c r="C46" s="9" t="inlineStr">
        <is>
          <t>https://youtu.be/F9qFcvqyl10?si=rL87R4mMoUHk2QHU</t>
        </is>
      </c>
      <c r="D46" s="3" t="n"/>
      <c r="E46" s="3" t="n"/>
      <c r="F46" s="3" t="n"/>
      <c r="G46" s="3" t="n"/>
      <c r="H46" s="3" t="n"/>
      <c r="I46" s="3" t="n"/>
      <c r="J46" s="3" t="n"/>
      <c r="K46" s="2" t="inlineStr">
        <is>
          <t>Y</t>
        </is>
      </c>
      <c r="L46" s="2" t="inlineStr">
        <is>
          <t>done</t>
        </is>
      </c>
      <c r="M46" s="3" t="inlineStr">
        <is>
          <t>transcripts\brixton_motorcycles_crossfire_500_x_standard.txt</t>
        </is>
      </c>
      <c r="N46" s="3" t="n"/>
      <c r="O46" s="3" t="n"/>
      <c r="P46" s="3" t="n"/>
      <c r="Q46" s="3" t="n"/>
      <c r="R46" s="3" t="n"/>
    </row>
    <row r="47">
      <c r="A47" s="2" t="inlineStr">
        <is>
          <t>brixton_motorcycles_crossfire_500_xc_standard</t>
        </is>
      </c>
      <c r="B47" s="3" t="n"/>
      <c r="C47" s="3" t="inlineStr">
        <is>
          <t>https://youtu.be/F9qFcvqyl10?si=rL87R4mMoUHk2QHU</t>
        </is>
      </c>
      <c r="D47" s="3" t="n"/>
      <c r="E47" s="3" t="n"/>
      <c r="F47" s="3" t="n"/>
      <c r="G47" s="3" t="n"/>
      <c r="H47" s="3" t="n"/>
      <c r="I47" s="3" t="n"/>
      <c r="J47" s="3" t="n"/>
      <c r="K47" s="2" t="inlineStr">
        <is>
          <t>Y</t>
        </is>
      </c>
      <c r="L47" s="2" t="inlineStr">
        <is>
          <t>done</t>
        </is>
      </c>
      <c r="M47" s="3" t="inlineStr">
        <is>
          <t>transcripts\brixton_motorcycles_crossfire_500_xc_standard.txt</t>
        </is>
      </c>
      <c r="N47" s="3" t="n"/>
      <c r="O47" s="3" t="n"/>
      <c r="P47" s="3" t="n"/>
      <c r="Q47" s="3" t="n"/>
      <c r="R47" s="3" t="n"/>
    </row>
    <row r="48">
      <c r="A48" s="2" t="inlineStr">
        <is>
          <t>brixton_motorcycles_cromwell_1200_standard</t>
        </is>
      </c>
      <c r="B48" s="3" t="n"/>
      <c r="C48" s="9" t="inlineStr">
        <is>
          <t>https://youtu.be/VTfeTS44c04?si=AIJsKIOQZX74Zmut</t>
        </is>
      </c>
      <c r="D48" s="3" t="n"/>
      <c r="E48" s="3" t="n"/>
      <c r="F48" s="3" t="n"/>
      <c r="G48" s="3" t="n"/>
      <c r="H48" s="3" t="n"/>
      <c r="I48" s="3" t="n"/>
      <c r="J48" s="3" t="n"/>
      <c r="K48" s="2" t="inlineStr">
        <is>
          <t>Y</t>
        </is>
      </c>
      <c r="L48" s="2" t="inlineStr">
        <is>
          <t>done</t>
        </is>
      </c>
      <c r="M48" s="3" t="inlineStr">
        <is>
          <t>transcripts\brixton_motorcycles_cromwell_1200_standard.txt</t>
        </is>
      </c>
      <c r="N48" s="3" t="n"/>
      <c r="O48" s="3" t="n"/>
      <c r="P48" s="3" t="n"/>
      <c r="Q48" s="3" t="n"/>
      <c r="R48" s="3" t="n"/>
    </row>
    <row r="49">
      <c r="A49" s="2" t="inlineStr">
        <is>
          <t>bsa_gold_star_650_highland_green</t>
        </is>
      </c>
      <c r="B49" s="3" t="n"/>
      <c r="C49" s="9" t="inlineStr">
        <is>
          <t>https://youtu.be/cYvPyGpMWHo?si=rBBHK5zS3OZ4tMSK</t>
        </is>
      </c>
      <c r="D49" s="3" t="n"/>
      <c r="E49" s="3" t="n"/>
      <c r="F49" s="3" t="n"/>
      <c r="G49" s="3" t="n"/>
      <c r="H49" s="3" t="n"/>
      <c r="I49" s="3" t="n"/>
      <c r="J49" s="3" t="n"/>
      <c r="K49" s="2" t="inlineStr">
        <is>
          <t>Y</t>
        </is>
      </c>
      <c r="L49" s="2" t="inlineStr">
        <is>
          <t>done</t>
        </is>
      </c>
      <c r="M49" s="3" t="inlineStr">
        <is>
          <t>transcripts\bsa_gold_star_650_highland_green.txt</t>
        </is>
      </c>
      <c r="N49" s="3" t="n"/>
      <c r="O49" s="3" t="n"/>
      <c r="P49" s="3" t="n"/>
      <c r="Q49" s="3" t="n"/>
      <c r="R49" s="3" t="n"/>
    </row>
    <row r="50">
      <c r="A50" s="2" t="inlineStr">
        <is>
          <t>ducati_monster_standard</t>
        </is>
      </c>
      <c r="B50" s="3" t="n"/>
      <c r="C50" s="9" t="inlineStr">
        <is>
          <t>https://youtu.be/2jvAGTBtrmM?si=hvX5uaIemYhWP3IM</t>
        </is>
      </c>
      <c r="D50" s="3" t="n"/>
      <c r="E50" s="3" t="n"/>
      <c r="F50" s="3" t="n"/>
      <c r="G50" s="3" t="n"/>
      <c r="H50" s="3" t="n"/>
      <c r="I50" s="3" t="n"/>
      <c r="J50" s="3" t="n"/>
      <c r="K50" s="2" t="inlineStr">
        <is>
          <t>Y</t>
        </is>
      </c>
      <c r="L50" s="2" t="inlineStr">
        <is>
          <t>done</t>
        </is>
      </c>
      <c r="M50" s="3" t="inlineStr">
        <is>
          <t>transcripts\ducati_monster_standard.txt</t>
        </is>
      </c>
      <c r="N50" s="3" t="n"/>
      <c r="O50" s="3" t="n"/>
      <c r="P50" s="3" t="n"/>
      <c r="Q50" s="3" t="n"/>
      <c r="R50" s="3" t="n"/>
    </row>
    <row r="51">
      <c r="A51" s="2" t="inlineStr">
        <is>
          <t>ducati_hypermotard_698_mono_standard</t>
        </is>
      </c>
      <c r="B51" s="3" t="n"/>
      <c r="C51" s="9" t="inlineStr">
        <is>
          <t>https://youtu.be/znSlxUvHJGo?si=QYPaK3J6rggOot4P</t>
        </is>
      </c>
      <c r="D51" s="3" t="n"/>
      <c r="E51" s="3" t="n"/>
      <c r="F51" s="3" t="n"/>
      <c r="G51" s="3" t="n"/>
      <c r="H51" s="3" t="n"/>
      <c r="I51" s="3" t="n"/>
      <c r="J51" s="3" t="n"/>
      <c r="K51" s="2" t="inlineStr">
        <is>
          <t>Y</t>
        </is>
      </c>
      <c r="L51" s="2" t="inlineStr">
        <is>
          <t>done</t>
        </is>
      </c>
      <c r="M51" s="3" t="inlineStr">
        <is>
          <t>transcripts\ducati_hypermotard_698_mono_standard.txt</t>
        </is>
      </c>
      <c r="N51" s="3" t="n"/>
      <c r="O51" s="3" t="n"/>
      <c r="P51" s="3" t="n"/>
      <c r="Q51" s="3" t="n"/>
      <c r="R51" s="3" t="n"/>
    </row>
    <row r="52">
      <c r="A52" s="2" t="inlineStr">
        <is>
          <t>ducati_hypermotard_950_standard</t>
        </is>
      </c>
      <c r="B52" s="3" t="n"/>
      <c r="C52" s="9" t="inlineStr">
        <is>
          <t>https://youtu.be/p1GoehzjRzw?si=d0nYrfBSZtP_VyeL</t>
        </is>
      </c>
      <c r="D52" s="3" t="n"/>
      <c r="E52" s="3" t="n"/>
      <c r="F52" s="3" t="n"/>
      <c r="G52" s="3" t="n"/>
      <c r="H52" s="3" t="n"/>
      <c r="I52" s="3" t="n"/>
      <c r="J52" s="3" t="n"/>
      <c r="K52" s="2" t="inlineStr">
        <is>
          <t>Y</t>
        </is>
      </c>
      <c r="L52" s="2" t="inlineStr">
        <is>
          <t>done</t>
        </is>
      </c>
      <c r="M52" s="3" t="inlineStr">
        <is>
          <t>transcripts\ducati_hypermotard_950_standard.txt</t>
        </is>
      </c>
      <c r="N52" s="3" t="n"/>
      <c r="O52" s="3" t="n"/>
      <c r="P52" s="3" t="n"/>
      <c r="Q52" s="3" t="n"/>
      <c r="R52" s="3" t="n"/>
    </row>
    <row r="53">
      <c r="A53" s="2" t="inlineStr">
        <is>
          <t>ducati_scrambler_800_icon_standard</t>
        </is>
      </c>
      <c r="B53" s="3" t="n"/>
      <c r="C53" s="9" t="inlineStr">
        <is>
          <t>https://youtu.be/zmOy-QQFgfw?si=N0jFZWGe358I9Zug</t>
        </is>
      </c>
      <c r="D53" s="3" t="n"/>
      <c r="E53" s="3" t="n"/>
      <c r="F53" s="3" t="n"/>
      <c r="G53" s="3" t="n"/>
      <c r="H53" s="3" t="n"/>
      <c r="I53" s="3" t="n"/>
      <c r="J53" s="3" t="n"/>
      <c r="K53" s="2" t="inlineStr">
        <is>
          <t>Y</t>
        </is>
      </c>
      <c r="L53" s="2" t="inlineStr">
        <is>
          <t>done</t>
        </is>
      </c>
      <c r="M53" s="3" t="inlineStr">
        <is>
          <t>transcripts\ducati_scrambler_800_icon_standard.txt</t>
        </is>
      </c>
      <c r="N53" s="3" t="n"/>
      <c r="O53" s="3" t="n"/>
      <c r="P53" s="3" t="n"/>
      <c r="Q53" s="3" t="n"/>
      <c r="R53" s="3" t="n"/>
    </row>
    <row r="54">
      <c r="A54" s="2" t="inlineStr">
        <is>
          <t>ducati_scrambler_800_full_throttle_standard</t>
        </is>
      </c>
      <c r="B54" s="3" t="n"/>
      <c r="C54" s="9" t="inlineStr">
        <is>
          <t>https://youtu.be/1QhKpoYkuw8?si=-wpP6HtahrcKc5o4</t>
        </is>
      </c>
      <c r="D54" s="3" t="n"/>
      <c r="E54" s="3" t="n"/>
      <c r="F54" s="3" t="n"/>
      <c r="G54" s="3" t="n"/>
      <c r="H54" s="3" t="n"/>
      <c r="I54" s="3" t="n"/>
      <c r="J54" s="3" t="n"/>
      <c r="K54" s="2" t="inlineStr">
        <is>
          <t>Y</t>
        </is>
      </c>
      <c r="L54" s="2" t="inlineStr">
        <is>
          <t>done</t>
        </is>
      </c>
      <c r="M54" s="3" t="inlineStr">
        <is>
          <t>transcripts\ducati_scrambler_800_full_throttle_standard.txt</t>
        </is>
      </c>
      <c r="N54" s="3" t="n"/>
      <c r="O54" s="3" t="n"/>
      <c r="P54" s="3" t="n"/>
      <c r="Q54" s="3" t="n"/>
      <c r="R54" s="3" t="n"/>
    </row>
    <row r="55">
      <c r="A55" s="2" t="inlineStr">
        <is>
          <t>ducati_scrambler_800_nightshift_standard</t>
        </is>
      </c>
      <c r="B55" s="3" t="n"/>
      <c r="C55" s="9" t="inlineStr">
        <is>
          <t>https://youtu.be/X66z4ovU1yY?si=th3gPQpHWyYbqy1J</t>
        </is>
      </c>
      <c r="D55" s="3" t="n"/>
      <c r="E55" s="3" t="n"/>
      <c r="F55" s="3" t="n"/>
      <c r="G55" s="3" t="n"/>
      <c r="H55" s="3" t="n"/>
      <c r="I55" s="3" t="n"/>
      <c r="J55" s="3" t="n"/>
      <c r="K55" s="2" t="inlineStr">
        <is>
          <t>Y</t>
        </is>
      </c>
      <c r="L55" s="2" t="inlineStr">
        <is>
          <t>done</t>
        </is>
      </c>
      <c r="M55" s="3" t="inlineStr">
        <is>
          <t>transcripts\ducati_scrambler_800_nightshift_standard.txt</t>
        </is>
      </c>
      <c r="N55" s="3" t="n"/>
      <c r="O55" s="3" t="n"/>
      <c r="P55" s="3" t="n"/>
      <c r="Q55" s="3" t="n"/>
      <c r="R55" s="3" t="n"/>
    </row>
    <row r="56">
      <c r="A56" s="2" t="inlineStr">
        <is>
          <t>ducati_desertx_standard</t>
        </is>
      </c>
      <c r="B56" s="3" t="n"/>
      <c r="C56" s="3" t="inlineStr">
        <is>
          <t>https://youtu.be/Z33K6PdAewE?si=Do_fIdcVN3J7KoVF</t>
        </is>
      </c>
      <c r="D56" s="3" t="n"/>
      <c r="E56" s="3" t="n"/>
      <c r="F56" s="3" t="n"/>
      <c r="G56" s="3" t="n"/>
      <c r="H56" s="3" t="n"/>
      <c r="I56" s="3" t="n"/>
      <c r="J56" s="3" t="n"/>
      <c r="K56" s="2" t="inlineStr">
        <is>
          <t>Y</t>
        </is>
      </c>
      <c r="L56" s="2" t="inlineStr">
        <is>
          <t>done</t>
        </is>
      </c>
      <c r="M56" s="3" t="inlineStr">
        <is>
          <t>transcripts\ducati_desertx_standard.txt</t>
        </is>
      </c>
      <c r="N56" s="3" t="n"/>
      <c r="O56" s="3" t="n"/>
      <c r="P56" s="3" t="n"/>
      <c r="Q56" s="3" t="n"/>
      <c r="R56" s="3" t="n"/>
    </row>
    <row r="57">
      <c r="A57" s="2" t="inlineStr">
        <is>
          <t>ducati_multistrada_v2_standard</t>
        </is>
      </c>
      <c r="B57" s="3" t="n"/>
      <c r="C57" s="3" t="inlineStr">
        <is>
          <t>https://youtu.be/KsOiNFhCz8E?si=A9ZgDiTjzl8qs55i</t>
        </is>
      </c>
      <c r="D57" s="3" t="n"/>
      <c r="E57" s="3" t="n"/>
      <c r="F57" s="3" t="n"/>
      <c r="G57" s="3" t="n"/>
      <c r="H57" s="3" t="n"/>
      <c r="I57" s="3" t="n"/>
      <c r="J57" s="3" t="n"/>
      <c r="K57" s="2" t="inlineStr">
        <is>
          <t>Y</t>
        </is>
      </c>
      <c r="L57" s="2" t="inlineStr">
        <is>
          <t>done</t>
        </is>
      </c>
      <c r="M57" s="3" t="inlineStr">
        <is>
          <t>transcripts\ducati_multistrada_v2_standard.txt</t>
        </is>
      </c>
      <c r="N57" s="3" t="n"/>
      <c r="O57" s="3" t="n"/>
      <c r="P57" s="3" t="n"/>
      <c r="Q57" s="3" t="n"/>
      <c r="R57" s="3" t="n"/>
    </row>
    <row r="58">
      <c r="A58" s="2" t="inlineStr">
        <is>
          <t>ducati_multistrada_v4_standard</t>
        </is>
      </c>
      <c r="B58" s="3" t="n"/>
      <c r="C58" s="9" t="inlineStr">
        <is>
          <t>https://youtu.be/zK4FCFbE4Y0?si=h9vqVTjlqgps7EMo</t>
        </is>
      </c>
      <c r="D58" s="3" t="n"/>
      <c r="E58" s="3" t="n"/>
      <c r="F58" s="3" t="n"/>
      <c r="G58" s="3" t="n"/>
      <c r="H58" s="3" t="n"/>
      <c r="I58" s="3" t="n"/>
      <c r="J58" s="3" t="n"/>
      <c r="K58" s="2" t="inlineStr">
        <is>
          <t>Y</t>
        </is>
      </c>
      <c r="L58" s="2" t="inlineStr">
        <is>
          <t>done</t>
        </is>
      </c>
      <c r="M58" s="3" t="inlineStr">
        <is>
          <t>transcripts\ducati_multistrada_v4_standard.txt</t>
        </is>
      </c>
      <c r="N58" s="3" t="n"/>
      <c r="O58" s="3" t="n"/>
      <c r="P58" s="3" t="n"/>
      <c r="Q58" s="3" t="n"/>
      <c r="R58" s="3" t="n"/>
    </row>
    <row r="59">
      <c r="A59" s="2" t="inlineStr">
        <is>
          <t>ducati_streetfighter_v2_standard</t>
        </is>
      </c>
      <c r="B59" s="3" t="n"/>
      <c r="C59" s="9" t="inlineStr">
        <is>
          <t>https://youtu.be/c5Ibg5Q6k58?si=VU-h8rD8rMf5hZFI</t>
        </is>
      </c>
      <c r="D59" s="3" t="n"/>
      <c r="E59" s="3" t="n"/>
      <c r="F59" s="3" t="n"/>
      <c r="G59" s="3" t="n"/>
      <c r="H59" s="3" t="n"/>
      <c r="I59" s="3" t="n"/>
      <c r="J59" s="3" t="n"/>
      <c r="K59" s="2" t="inlineStr">
        <is>
          <t>Y</t>
        </is>
      </c>
      <c r="L59" s="2" t="inlineStr">
        <is>
          <t>done</t>
        </is>
      </c>
      <c r="M59" s="3" t="inlineStr">
        <is>
          <t>transcripts\ducati_streetfighter_v2_standard.txt</t>
        </is>
      </c>
      <c r="N59" s="3" t="n"/>
      <c r="O59" s="3" t="n"/>
      <c r="P59" s="3" t="n"/>
      <c r="Q59" s="3" t="n"/>
      <c r="R59" s="3" t="n"/>
    </row>
    <row r="60">
      <c r="A60" s="2" t="inlineStr">
        <is>
          <t>ducati_streetfighter_v4_standard</t>
        </is>
      </c>
      <c r="B60" s="3" t="n"/>
      <c r="C60" s="9" t="inlineStr">
        <is>
          <t>https://youtu.be/oLMlYwP1k2M?si=uQwQEbsTwjHr62n5</t>
        </is>
      </c>
      <c r="D60" s="3" t="n"/>
      <c r="E60" s="3" t="n"/>
      <c r="F60" s="3" t="n"/>
      <c r="G60" s="3" t="n"/>
      <c r="H60" s="3" t="n"/>
      <c r="I60" s="3" t="n"/>
      <c r="J60" s="3" t="n"/>
      <c r="K60" s="2" t="inlineStr">
        <is>
          <t>Y</t>
        </is>
      </c>
      <c r="L60" s="2" t="inlineStr">
        <is>
          <t>done</t>
        </is>
      </c>
      <c r="M60" s="3" t="inlineStr">
        <is>
          <t>transcripts\ducati_streetfighter_v4_standard.txt</t>
        </is>
      </c>
      <c r="N60" s="3" t="n"/>
      <c r="O60" s="3" t="n"/>
      <c r="P60" s="3" t="n"/>
      <c r="Q60" s="3" t="n"/>
      <c r="R60" s="3" t="n"/>
    </row>
    <row r="61">
      <c r="A61" s="2" t="inlineStr">
        <is>
          <t>ducati_panigale_v2_standard</t>
        </is>
      </c>
      <c r="B61" s="3" t="n"/>
      <c r="C61" s="9" t="inlineStr">
        <is>
          <t>https://youtu.be/4CJH-mhqrHc?si=RSbIg3FU_ftetMr2</t>
        </is>
      </c>
      <c r="D61" s="3" t="n"/>
      <c r="E61" s="3" t="n"/>
      <c r="F61" s="3" t="n"/>
      <c r="G61" s="3" t="n"/>
      <c r="H61" s="3" t="n"/>
      <c r="I61" s="3" t="n"/>
      <c r="J61" s="3" t="n"/>
      <c r="K61" s="2" t="inlineStr">
        <is>
          <t>Y</t>
        </is>
      </c>
      <c r="L61" s="2" t="inlineStr">
        <is>
          <t>done</t>
        </is>
      </c>
      <c r="M61" s="3" t="inlineStr">
        <is>
          <t>transcripts\ducati_panigale_v2_standard.txt</t>
        </is>
      </c>
      <c r="N61" s="3" t="n"/>
      <c r="O61" s="3" t="n"/>
      <c r="P61" s="3" t="n"/>
      <c r="Q61" s="3" t="n"/>
      <c r="R61" s="3" t="n"/>
    </row>
    <row r="62">
      <c r="A62" s="2" t="inlineStr">
        <is>
          <t>ducati_panigale_v4_standard</t>
        </is>
      </c>
      <c r="B62" s="3" t="n"/>
      <c r="C62" s="9" t="inlineStr">
        <is>
          <t>https://youtu.be/CYrvPtJTMB4?si=f0Gw2-5_Kw-cdb9M</t>
        </is>
      </c>
      <c r="D62" s="3" t="n"/>
      <c r="E62" s="3" t="n"/>
      <c r="F62" s="3" t="n"/>
      <c r="G62" s="3" t="n"/>
      <c r="H62" s="3" t="n"/>
      <c r="I62" s="3" t="n"/>
      <c r="J62" s="3" t="n"/>
      <c r="K62" s="2" t="inlineStr">
        <is>
          <t>Y</t>
        </is>
      </c>
      <c r="L62" s="2" t="inlineStr">
        <is>
          <t>done</t>
        </is>
      </c>
      <c r="M62" s="3" t="inlineStr">
        <is>
          <t>transcripts\ducati_panigale_v4_standard.txt</t>
        </is>
      </c>
      <c r="N62" s="3" t="n"/>
      <c r="O62" s="3" t="n"/>
      <c r="P62" s="3" t="n"/>
      <c r="Q62" s="3" t="n"/>
      <c r="R62" s="3" t="n"/>
    </row>
    <row r="63">
      <c r="A63" s="2" t="inlineStr">
        <is>
          <t>ducati_diavel_v4_standard</t>
        </is>
      </c>
      <c r="B63" s="3" t="n"/>
      <c r="C63" s="9" t="inlineStr">
        <is>
          <t>https://youtu.be/EHgvpdMyN6s?si=1vCOG0RG6wua6oW0</t>
        </is>
      </c>
      <c r="D63" s="3" t="n"/>
      <c r="E63" s="3" t="n"/>
      <c r="F63" s="3" t="n"/>
      <c r="G63" s="3" t="n"/>
      <c r="H63" s="3" t="n"/>
      <c r="I63" s="3" t="n"/>
      <c r="J63" s="3" t="n"/>
      <c r="K63" s="2" t="inlineStr">
        <is>
          <t>Y</t>
        </is>
      </c>
      <c r="L63" s="2" t="inlineStr">
        <is>
          <t>done</t>
        </is>
      </c>
      <c r="M63" s="3" t="inlineStr">
        <is>
          <t>transcripts\ducati_diavel_v4_standard.txt</t>
        </is>
      </c>
      <c r="N63" s="3" t="n"/>
      <c r="O63" s="3" t="n"/>
      <c r="P63" s="3" t="n"/>
      <c r="Q63" s="3" t="n"/>
      <c r="R63" s="3" t="n"/>
    </row>
    <row r="64">
      <c r="A64" s="2" t="inlineStr">
        <is>
          <t>harley_davidson_x440_denim</t>
        </is>
      </c>
      <c r="B64" s="3" t="n"/>
      <c r="C64" s="9" t="inlineStr">
        <is>
          <t>https://youtu.be/WPsSDnzbbGg?si=JTT6ixnWmDNNLxem</t>
        </is>
      </c>
      <c r="D64" s="3" t="n"/>
      <c r="E64" s="3" t="n"/>
      <c r="F64" s="3" t="n"/>
      <c r="G64" s="3" t="n"/>
      <c r="H64" s="3" t="n"/>
      <c r="I64" s="3" t="n"/>
      <c r="J64" s="3" t="n"/>
      <c r="K64" s="2" t="inlineStr">
        <is>
          <t>Y</t>
        </is>
      </c>
      <c r="L64" s="2" t="inlineStr">
        <is>
          <t>done</t>
        </is>
      </c>
      <c r="M64" s="3" t="inlineStr">
        <is>
          <t>transcripts\harley_davidson_x440_denim.txt</t>
        </is>
      </c>
      <c r="N64" s="3" t="n"/>
      <c r="O64" s="3" t="n"/>
      <c r="P64" s="3" t="n"/>
      <c r="Q64" s="3" t="n"/>
      <c r="R64" s="3" t="n"/>
    </row>
    <row r="65">
      <c r="A65" s="2" t="inlineStr">
        <is>
          <t>harley_davidson_nightster_standard</t>
        </is>
      </c>
      <c r="B65" s="3" t="n"/>
      <c r="C65" s="9" t="inlineStr">
        <is>
          <t>https://youtu.be/kN17HsyvQDs?si=b7eaK0gmaQEsN5G4</t>
        </is>
      </c>
      <c r="D65" s="3" t="n"/>
      <c r="E65" s="3" t="n"/>
      <c r="F65" s="3" t="n"/>
      <c r="G65" s="3" t="n"/>
      <c r="H65" s="3" t="n"/>
      <c r="I65" s="3" t="n"/>
      <c r="J65" s="3" t="n"/>
      <c r="K65" s="2" t="inlineStr">
        <is>
          <t>Y</t>
        </is>
      </c>
      <c r="L65" s="2" t="inlineStr">
        <is>
          <t>done</t>
        </is>
      </c>
      <c r="M65" s="3" t="inlineStr">
        <is>
          <t>transcripts\harley_davidson_nightster_standard.txt</t>
        </is>
      </c>
      <c r="N65" s="3" t="n"/>
      <c r="O65" s="3" t="n"/>
      <c r="P65" s="3" t="n"/>
      <c r="Q65" s="3" t="n"/>
      <c r="R65" s="3" t="n"/>
    </row>
    <row r="66">
      <c r="A66" s="2" t="inlineStr">
        <is>
          <t>harley_davidson_sportster_s_standard</t>
        </is>
      </c>
      <c r="B66" s="3" t="n"/>
      <c r="C66" s="9" t="inlineStr">
        <is>
          <t>https://youtu.be/dYBGDJco6Ng?si=JbhQH8UCWOwSThaK</t>
        </is>
      </c>
      <c r="D66" s="3" t="n"/>
      <c r="E66" s="3" t="n"/>
      <c r="F66" s="3" t="n"/>
      <c r="G66" s="3" t="n"/>
      <c r="H66" s="3" t="n"/>
      <c r="I66" s="3" t="n"/>
      <c r="J66" s="3" t="n"/>
      <c r="K66" s="2" t="inlineStr">
        <is>
          <t>Y</t>
        </is>
      </c>
      <c r="L66" s="2" t="inlineStr">
        <is>
          <t>done</t>
        </is>
      </c>
      <c r="M66" s="3" t="inlineStr">
        <is>
          <t>transcripts\harley_davidson_sportster_s_standard.txt</t>
        </is>
      </c>
      <c r="N66" s="3" t="n"/>
      <c r="O66" s="3" t="n"/>
      <c r="P66" s="3" t="n"/>
      <c r="Q66" s="3" t="n"/>
      <c r="R66" s="3" t="n"/>
    </row>
    <row r="67">
      <c r="A67" s="2" t="inlineStr">
        <is>
          <t>harley_davidson_pan_america_1250_special</t>
        </is>
      </c>
      <c r="B67" s="3" t="n"/>
      <c r="C67" s="3" t="inlineStr">
        <is>
          <t>https://youtu.be/SXRtJvNSECk?si=v-b3pR-uDPWn_0WI</t>
        </is>
      </c>
      <c r="D67" s="3" t="n"/>
      <c r="E67" s="3" t="n"/>
      <c r="F67" s="3" t="n"/>
      <c r="G67" s="3" t="n"/>
      <c r="H67" s="3" t="n"/>
      <c r="I67" s="3" t="n"/>
      <c r="J67" s="3" t="n"/>
      <c r="K67" s="2" t="inlineStr">
        <is>
          <t>Y</t>
        </is>
      </c>
      <c r="L67" s="2" t="inlineStr">
        <is>
          <t>done</t>
        </is>
      </c>
      <c r="M67" s="3" t="inlineStr">
        <is>
          <t>transcripts\harley_davidson_pan_america_1250_special.txt</t>
        </is>
      </c>
      <c r="N67" s="3" t="n"/>
      <c r="O67" s="3" t="n"/>
      <c r="P67" s="3" t="n"/>
      <c r="Q67" s="3" t="n"/>
      <c r="R67" s="3" t="n"/>
    </row>
    <row r="68">
      <c r="A68" s="2" t="inlineStr">
        <is>
          <t>harley_davidson_fat_bob_114_standard</t>
        </is>
      </c>
      <c r="B68" s="3" t="n"/>
      <c r="C68" s="3" t="inlineStr">
        <is>
          <t>https://youtu.be/qW64cBfR3oc?si=mLsR3l-eZVQqjsAl</t>
        </is>
      </c>
      <c r="D68" s="3" t="n"/>
      <c r="E68" s="3" t="n"/>
      <c r="F68" s="3" t="n"/>
      <c r="G68" s="3" t="n"/>
      <c r="H68" s="3" t="n"/>
      <c r="I68" s="3" t="n"/>
      <c r="J68" s="3" t="n"/>
      <c r="K68" s="2" t="inlineStr">
        <is>
          <t>Y</t>
        </is>
      </c>
      <c r="L68" s="2" t="inlineStr">
        <is>
          <t>done</t>
        </is>
      </c>
      <c r="M68" s="3" t="inlineStr">
        <is>
          <t>transcripts\harley_davidson_fat_bob_114_standard.txt</t>
        </is>
      </c>
      <c r="N68" s="3" t="n"/>
      <c r="O68" s="3" t="n"/>
      <c r="P68" s="3" t="n"/>
      <c r="Q68" s="3" t="n"/>
      <c r="R68" s="3" t="n"/>
    </row>
    <row r="69">
      <c r="A69" s="2" t="inlineStr">
        <is>
          <t>harley_davidson_heritage_classic_standard</t>
        </is>
      </c>
      <c r="B69" s="3" t="n"/>
      <c r="C69" s="3" t="inlineStr">
        <is>
          <t>https://youtu.be/DeO3Xueptfs?si=7iIzwaaCKI9jqfYo</t>
        </is>
      </c>
      <c r="D69" s="3" t="n"/>
      <c r="E69" s="3" t="n"/>
      <c r="F69" s="3" t="n"/>
      <c r="G69" s="3" t="n"/>
      <c r="H69" s="3" t="n"/>
      <c r="I69" s="3" t="n"/>
      <c r="J69" s="3" t="n"/>
      <c r="K69" s="2" t="inlineStr">
        <is>
          <t>Y</t>
        </is>
      </c>
      <c r="L69" s="2" t="inlineStr">
        <is>
          <t>done</t>
        </is>
      </c>
      <c r="M69" s="3" t="inlineStr">
        <is>
          <t>transcripts\harley_davidson_heritage_classic_standard.txt</t>
        </is>
      </c>
      <c r="N69" s="3" t="n"/>
      <c r="O69" s="3" t="n"/>
      <c r="P69" s="3" t="n"/>
      <c r="Q69" s="3" t="n"/>
      <c r="R69" s="3" t="n"/>
    </row>
    <row r="70">
      <c r="A70" s="2" t="inlineStr">
        <is>
          <t>harley_davidson_road_glide_standard</t>
        </is>
      </c>
      <c r="B70" s="3" t="n"/>
      <c r="C70" s="9" t="inlineStr">
        <is>
          <t>https://youtu.be/s5KlUpv4YZk?si=36d6K3clhGjUGNIP</t>
        </is>
      </c>
      <c r="D70" s="3" t="n"/>
      <c r="E70" s="3" t="n"/>
      <c r="F70" s="3" t="n"/>
      <c r="G70" s="3" t="n"/>
      <c r="H70" s="3" t="n"/>
      <c r="I70" s="3" t="n"/>
      <c r="J70" s="3" t="n"/>
      <c r="K70" s="2" t="inlineStr">
        <is>
          <t>Y</t>
        </is>
      </c>
      <c r="L70" s="2" t="inlineStr">
        <is>
          <t>done</t>
        </is>
      </c>
      <c r="M70" s="3" t="inlineStr">
        <is>
          <t>transcripts\harley_davidson_road_glide_standard.txt</t>
        </is>
      </c>
      <c r="N70" s="3" t="n"/>
      <c r="O70" s="3" t="n"/>
      <c r="P70" s="3" t="n"/>
      <c r="Q70" s="3" t="n"/>
      <c r="R70" s="3" t="n"/>
    </row>
    <row r="71">
      <c r="A71" s="2" t="inlineStr">
        <is>
          <t>harley_davidson_street_glide_standard</t>
        </is>
      </c>
      <c r="B71" s="3" t="n"/>
      <c r="C71" s="9" t="inlineStr">
        <is>
          <t>https://youtu.be/tX_Goy7CitI?si=m84yT45KSh6wR2Z_</t>
        </is>
      </c>
      <c r="D71" s="3" t="n"/>
      <c r="E71" s="3" t="n"/>
      <c r="F71" s="3" t="n"/>
      <c r="G71" s="3" t="n"/>
      <c r="H71" s="3" t="n"/>
      <c r="I71" s="3" t="n"/>
      <c r="J71" s="3" t="n"/>
      <c r="K71" s="2" t="inlineStr">
        <is>
          <t>Y</t>
        </is>
      </c>
      <c r="L71" s="2" t="inlineStr">
        <is>
          <t>done</t>
        </is>
      </c>
      <c r="M71" s="3" t="inlineStr">
        <is>
          <t>transcripts\harley_davidson_street_glide_standard.txt</t>
        </is>
      </c>
      <c r="N71" s="3" t="n"/>
      <c r="O71" s="3" t="n"/>
      <c r="P71" s="3" t="n"/>
      <c r="Q71" s="3" t="n"/>
      <c r="R71" s="3" t="n"/>
    </row>
    <row r="72">
      <c r="A72" s="2" t="inlineStr">
        <is>
          <t>hero_motocorp_hf_deluxe_kick_cast_obd2b</t>
        </is>
      </c>
      <c r="B72" s="3" t="n"/>
      <c r="C72" s="9" t="inlineStr">
        <is>
          <t>https://youtu.be/gO09ROyYNqk?si=U3jVZE0k6CCvRnvH</t>
        </is>
      </c>
      <c r="D72" s="3" t="n"/>
      <c r="E72" s="3" t="n"/>
      <c r="F72" s="3" t="n"/>
      <c r="G72" s="3" t="n"/>
      <c r="H72" s="3" t="n"/>
      <c r="I72" s="3" t="n"/>
      <c r="J72" s="3" t="n"/>
      <c r="K72" s="2" t="inlineStr">
        <is>
          <t>Y</t>
        </is>
      </c>
      <c r="L72" s="2" t="inlineStr">
        <is>
          <t>done</t>
        </is>
      </c>
      <c r="M72" s="3" t="inlineStr">
        <is>
          <t>transcripts\hero_motocorp_hf_deluxe_kick_cast_obd2b.txt</t>
        </is>
      </c>
      <c r="N72" s="3" t="n"/>
      <c r="O72" s="3" t="n"/>
      <c r="P72" s="3" t="n"/>
      <c r="Q72" s="3" t="n"/>
      <c r="R72" s="3" t="n"/>
    </row>
    <row r="73">
      <c r="A73" s="2" t="inlineStr">
        <is>
          <t>hero_motocorp_hf_100_std</t>
        </is>
      </c>
      <c r="B73" s="3" t="n"/>
      <c r="C73" s="3" t="inlineStr">
        <is>
          <t>https://youtu.be/2ewnvScnl8w?si=pBhQKDFbOKiba1Jy</t>
        </is>
      </c>
      <c r="D73" s="3" t="n"/>
      <c r="E73" s="3" t="n"/>
      <c r="F73" s="3" t="n"/>
      <c r="G73" s="3" t="n"/>
      <c r="H73" s="3" t="n"/>
      <c r="I73" s="3" t="n"/>
      <c r="J73" s="3" t="n"/>
      <c r="K73" s="2" t="inlineStr">
        <is>
          <t>Y</t>
        </is>
      </c>
      <c r="L73" s="2" t="inlineStr">
        <is>
          <t>done</t>
        </is>
      </c>
      <c r="M73" s="3" t="inlineStr">
        <is>
          <t>transcripts\hero_motocorp_hf_100_std.txt</t>
        </is>
      </c>
      <c r="N73" s="3" t="n"/>
      <c r="O73" s="3" t="n"/>
      <c r="P73" s="3" t="n"/>
      <c r="Q73" s="3" t="n"/>
      <c r="R73" s="3" t="n"/>
    </row>
    <row r="74">
      <c r="A74" s="2" t="inlineStr">
        <is>
          <t>hero_motocorp_splendor_plus_self_with_alloy_wheel</t>
        </is>
      </c>
      <c r="B74" s="3" t="n"/>
      <c r="C74" s="3" t="inlineStr">
        <is>
          <t>https://youtu.be/S9zUe8iuhJc?si=u8PRtj9vDy48cmuO</t>
        </is>
      </c>
      <c r="D74" s="3" t="n"/>
      <c r="E74" s="3" t="n"/>
      <c r="F74" s="3" t="n"/>
      <c r="G74" s="3" t="n"/>
      <c r="H74" s="3" t="n"/>
      <c r="I74" s="3" t="n"/>
      <c r="J74" s="3" t="n"/>
      <c r="K74" s="2" t="inlineStr">
        <is>
          <t>Y</t>
        </is>
      </c>
      <c r="L74" s="2" t="inlineStr">
        <is>
          <t>done</t>
        </is>
      </c>
      <c r="M74" s="3" t="inlineStr">
        <is>
          <t>transcripts\hero_motocorp_splendor_plus_self_with_alloy_wheel.txt</t>
        </is>
      </c>
      <c r="N74" s="3" t="n"/>
      <c r="O74" s="3" t="n"/>
      <c r="P74" s="3" t="n"/>
      <c r="Q74" s="3" t="n"/>
      <c r="R74" s="3" t="n"/>
    </row>
    <row r="75">
      <c r="A75" s="2" t="inlineStr">
        <is>
          <t>hero_motocorp_splendor_plus_xtec_drum</t>
        </is>
      </c>
      <c r="B75" s="3" t="n"/>
      <c r="C75" s="9" t="inlineStr">
        <is>
          <t>https://youtu.be/S9zUe8iuhJc?si=u8PRtj9vDy48cmuO</t>
        </is>
      </c>
      <c r="D75" s="3" t="n"/>
      <c r="E75" s="3" t="n"/>
      <c r="F75" s="3" t="n"/>
      <c r="G75" s="3" t="n"/>
      <c r="H75" s="3" t="n"/>
      <c r="I75" s="3" t="n"/>
      <c r="J75" s="3" t="n"/>
      <c r="K75" s="2" t="inlineStr">
        <is>
          <t>Y</t>
        </is>
      </c>
      <c r="L75" s="2" t="inlineStr">
        <is>
          <t>done</t>
        </is>
      </c>
      <c r="M75" s="3" t="inlineStr">
        <is>
          <t>transcripts\hero_motocorp_splendor_plus_xtec_drum.txt</t>
        </is>
      </c>
      <c r="N75" s="3" t="n"/>
      <c r="O75" s="3" t="n"/>
      <c r="P75" s="3" t="n"/>
      <c r="Q75" s="3" t="n"/>
      <c r="R75" s="3" t="n"/>
    </row>
    <row r="76">
      <c r="A76" s="2" t="inlineStr">
        <is>
          <t>hero_motocorp_passion_plus_std</t>
        </is>
      </c>
      <c r="B76" s="3" t="n"/>
      <c r="C76" s="3" t="inlineStr">
        <is>
          <t>https://youtu.be/IUywqFuWPos?si=IQNKpcJi_Ys6_1DZ</t>
        </is>
      </c>
      <c r="D76" s="3" t="n"/>
      <c r="E76" s="3" t="n"/>
      <c r="F76" s="3" t="n"/>
      <c r="G76" s="3" t="n"/>
      <c r="H76" s="3" t="n"/>
      <c r="I76" s="3" t="n"/>
      <c r="J76" s="3" t="n"/>
      <c r="K76" s="2" t="inlineStr">
        <is>
          <t>Y</t>
        </is>
      </c>
      <c r="L76" s="2" t="inlineStr">
        <is>
          <t>done</t>
        </is>
      </c>
      <c r="M76" s="3" t="inlineStr">
        <is>
          <t>transcripts\hero_motocorp_passion_plus_std.txt</t>
        </is>
      </c>
      <c r="N76" s="3" t="n"/>
      <c r="O76" s="3" t="n"/>
      <c r="P76" s="3" t="n"/>
      <c r="Q76" s="3" t="n"/>
      <c r="R76" s="3" t="n"/>
    </row>
    <row r="77">
      <c r="A77" s="2" t="inlineStr">
        <is>
          <t>hero_motocorp_glamour_drum</t>
        </is>
      </c>
      <c r="B77" s="3" t="n"/>
      <c r="C77" s="3" t="inlineStr">
        <is>
          <t>https://youtu.be/7e3xA516MLY?si=IrifaUX4gLzYK32a</t>
        </is>
      </c>
      <c r="D77" s="3" t="n"/>
      <c r="E77" s="3" t="n"/>
      <c r="F77" s="3" t="n"/>
      <c r="G77" s="3" t="n"/>
      <c r="H77" s="3" t="n"/>
      <c r="I77" s="3" t="n"/>
      <c r="J77" s="3" t="n"/>
      <c r="K77" s="2" t="inlineStr">
        <is>
          <t>Y</t>
        </is>
      </c>
      <c r="L77" s="2" t="inlineStr">
        <is>
          <t>failed</t>
        </is>
      </c>
      <c r="M77" s="3" t="n"/>
      <c r="N77" s="3" t="n"/>
      <c r="O77" s="3" t="n"/>
      <c r="P77" s="3" t="n"/>
      <c r="Q77" s="3" t="n"/>
      <c r="R77" s="3" t="n"/>
    </row>
    <row r="78">
      <c r="A78" s="2" t="inlineStr">
        <is>
          <t>hero_motocorp_glamour_xtec_drum</t>
        </is>
      </c>
      <c r="B78" s="3" t="n"/>
      <c r="C78" s="9" t="inlineStr">
        <is>
          <t>https://youtu.be/7e3xA516MLY?si=IrifaUX4gLzYK32a</t>
        </is>
      </c>
      <c r="D78" s="3" t="n"/>
      <c r="E78" s="3" t="n"/>
      <c r="F78" s="3" t="n"/>
      <c r="G78" s="3" t="n"/>
      <c r="H78" s="3" t="n"/>
      <c r="I78" s="3" t="n"/>
      <c r="J78" s="3" t="n"/>
      <c r="K78" s="2" t="inlineStr">
        <is>
          <t>Y</t>
        </is>
      </c>
      <c r="L78" s="2" t="inlineStr">
        <is>
          <t>done</t>
        </is>
      </c>
      <c r="M78" s="3" t="inlineStr">
        <is>
          <t>transcripts\hero_motocorp_glamour_xtec_drum.txt</t>
        </is>
      </c>
      <c r="N78" s="3" t="n"/>
      <c r="O78" s="3" t="n"/>
      <c r="P78" s="3" t="n"/>
      <c r="Q78" s="3" t="n"/>
      <c r="R78" s="3" t="n"/>
    </row>
    <row r="79">
      <c r="A79" s="2" t="inlineStr">
        <is>
          <t>hero_motocorp_super_splendor_xtec_drum</t>
        </is>
      </c>
      <c r="B79" s="3" t="n"/>
      <c r="C79" s="9" t="inlineStr">
        <is>
          <t>https://youtu.be/sVqdO2bHFCo?si=qppPjwYxax_VOlCH</t>
        </is>
      </c>
      <c r="D79" s="3" t="n"/>
      <c r="E79" s="3" t="n"/>
      <c r="F79" s="3" t="n"/>
      <c r="G79" s="3" t="n"/>
      <c r="H79" s="3" t="n"/>
      <c r="I79" s="3" t="n"/>
      <c r="J79" s="3" t="n"/>
      <c r="K79" s="2" t="inlineStr">
        <is>
          <t>Y</t>
        </is>
      </c>
      <c r="L79" s="2" t="inlineStr">
        <is>
          <t>done</t>
        </is>
      </c>
      <c r="M79" s="3" t="inlineStr">
        <is>
          <t>transcripts\hero_motocorp_super_splendor_xtec_drum.txt</t>
        </is>
      </c>
      <c r="N79" s="3" t="n"/>
      <c r="O79" s="3" t="n"/>
      <c r="P79" s="3" t="n"/>
      <c r="Q79" s="3" t="n"/>
      <c r="R79" s="3" t="n"/>
    </row>
    <row r="80">
      <c r="A80" s="2" t="inlineStr">
        <is>
          <t>hero_motocorp_xtreme_125r_ibs</t>
        </is>
      </c>
      <c r="B80" s="3" t="n"/>
      <c r="C80" s="9" t="inlineStr">
        <is>
          <t>https://youtu.be/l4WYt-2RrDQ?si=rqBfC-iXJubc8wIq</t>
        </is>
      </c>
      <c r="D80" s="3" t="n"/>
      <c r="E80" s="3" t="n"/>
      <c r="F80" s="3" t="n"/>
      <c r="G80" s="3" t="n"/>
      <c r="H80" s="3" t="n"/>
      <c r="I80" s="3" t="n"/>
      <c r="J80" s="3" t="n"/>
      <c r="K80" s="2" t="inlineStr">
        <is>
          <t>Y</t>
        </is>
      </c>
      <c r="L80" s="2" t="inlineStr">
        <is>
          <t>done</t>
        </is>
      </c>
      <c r="M80" s="3" t="inlineStr">
        <is>
          <t>transcripts\hero_motocorp_xtreme_125r_ibs.txt</t>
        </is>
      </c>
      <c r="N80" s="3" t="n"/>
      <c r="O80" s="3" t="n"/>
      <c r="P80" s="3" t="n"/>
      <c r="Q80" s="3" t="n"/>
      <c r="R80" s="3" t="n"/>
    </row>
    <row r="81">
      <c r="A81" s="2" t="inlineStr">
        <is>
          <t>hero_motocorp_xtreme_160r_single_disc</t>
        </is>
      </c>
      <c r="B81" s="3" t="n"/>
      <c r="C81" s="9" t="inlineStr">
        <is>
          <t>https://youtu.be/7wxkie5-XFc?si=w_n_IQND6NQjpNjk</t>
        </is>
      </c>
      <c r="D81" s="3" t="n"/>
      <c r="E81" s="3" t="n"/>
      <c r="F81" s="3" t="n"/>
      <c r="G81" s="3" t="n"/>
      <c r="H81" s="3" t="n"/>
      <c r="I81" s="3" t="n"/>
      <c r="J81" s="3" t="n"/>
      <c r="K81" s="2" t="inlineStr">
        <is>
          <t>Y</t>
        </is>
      </c>
      <c r="L81" s="2" t="inlineStr">
        <is>
          <t>done</t>
        </is>
      </c>
      <c r="M81" s="3" t="inlineStr">
        <is>
          <t>transcripts\hero_motocorp_xtreme_160r_single_disc.txt</t>
        </is>
      </c>
      <c r="N81" s="3" t="n"/>
      <c r="O81" s="3" t="n"/>
      <c r="P81" s="3" t="n"/>
      <c r="Q81" s="3" t="n"/>
      <c r="R81" s="3" t="n"/>
    </row>
    <row r="82">
      <c r="A82" s="2" t="inlineStr">
        <is>
          <t>hero_motocorp_xtreme_160r_4v_standard</t>
        </is>
      </c>
      <c r="B82" s="3" t="n"/>
      <c r="C82" s="9" t="inlineStr">
        <is>
          <t>https://youtu.be/7wxkie5-XFc?si=w_n_IQND6NQjpNjk</t>
        </is>
      </c>
      <c r="D82" s="3" t="n"/>
      <c r="E82" s="3" t="n"/>
      <c r="F82" s="3" t="n"/>
      <c r="G82" s="3" t="n"/>
      <c r="H82" s="3" t="n"/>
      <c r="I82" s="3" t="n"/>
      <c r="J82" s="3" t="n"/>
      <c r="K82" s="2" t="inlineStr">
        <is>
          <t>Y</t>
        </is>
      </c>
      <c r="L82" s="2" t="inlineStr">
        <is>
          <t>done</t>
        </is>
      </c>
      <c r="M82" s="3" t="inlineStr">
        <is>
          <t>transcripts\hero_motocorp_xtreme_160r_4v_standard.txt</t>
        </is>
      </c>
      <c r="N82" s="3" t="n"/>
      <c r="O82" s="3" t="n"/>
      <c r="P82" s="3" t="n"/>
      <c r="Q82" s="3" t="n"/>
      <c r="R82" s="3" t="n"/>
    </row>
    <row r="83">
      <c r="A83" s="2" t="inlineStr">
        <is>
          <t>hero_motocorp_xtreme_250r_std</t>
        </is>
      </c>
      <c r="B83" s="3" t="n"/>
      <c r="C83" s="9" t="inlineStr">
        <is>
          <t>https://youtu.be/8Y47c0XbRik?si=OMY50Nw8UgQRKS5z</t>
        </is>
      </c>
      <c r="D83" s="3" t="n"/>
      <c r="E83" s="3" t="n"/>
      <c r="F83" s="3" t="n"/>
      <c r="G83" s="3" t="n"/>
      <c r="H83" s="3" t="n"/>
      <c r="I83" s="3" t="n"/>
      <c r="J83" s="3" t="n"/>
      <c r="K83" s="2" t="inlineStr">
        <is>
          <t>Y</t>
        </is>
      </c>
      <c r="L83" s="2" t="inlineStr">
        <is>
          <t>done</t>
        </is>
      </c>
      <c r="M83" s="3" t="inlineStr">
        <is>
          <t>transcripts\hero_motocorp_xtreme_250r_std.txt</t>
        </is>
      </c>
      <c r="N83" s="3" t="n"/>
      <c r="O83" s="3" t="n"/>
      <c r="P83" s="3" t="n"/>
      <c r="Q83" s="3" t="n"/>
      <c r="R83" s="3" t="n"/>
    </row>
    <row r="84">
      <c r="A84" s="2" t="inlineStr">
        <is>
          <t>hero_motocorp_karizma_xmr_210_std</t>
        </is>
      </c>
      <c r="B84" s="3" t="n"/>
      <c r="C84" s="3" t="inlineStr">
        <is>
          <t>https://youtu.be/CXeTylbyDgI?si=Rn4ior4vPUsrgmGi</t>
        </is>
      </c>
      <c r="D84" s="3" t="n"/>
      <c r="E84" s="3" t="n"/>
      <c r="F84" s="3" t="n"/>
      <c r="G84" s="3" t="n"/>
      <c r="H84" s="3" t="n"/>
      <c r="I84" s="3" t="n"/>
      <c r="J84" s="3" t="n"/>
      <c r="K84" s="2" t="inlineStr">
        <is>
          <t>Y</t>
        </is>
      </c>
      <c r="L84" s="2" t="inlineStr">
        <is>
          <t>done</t>
        </is>
      </c>
      <c r="M84" s="3" t="inlineStr">
        <is>
          <t>transcripts\hero_motocorp_karizma_xmr_210_std.txt</t>
        </is>
      </c>
      <c r="N84" s="3" t="n"/>
      <c r="O84" s="3" t="n"/>
      <c r="P84" s="3" t="n"/>
      <c r="Q84" s="3" t="n"/>
      <c r="R84" s="3" t="n"/>
    </row>
    <row r="85">
      <c r="A85" s="2" t="inlineStr">
        <is>
          <t>hero_motocorp_xpulse_200_4v_standard</t>
        </is>
      </c>
      <c r="B85" s="3" t="n"/>
      <c r="C85" s="3" t="inlineStr">
        <is>
          <t>https://youtu.be/K6RS2nTHtug?si=mXESUEvnfSF6Xjcn</t>
        </is>
      </c>
      <c r="D85" s="3" t="n"/>
      <c r="E85" s="3" t="n"/>
      <c r="F85" s="3" t="n"/>
      <c r="G85" s="3" t="n"/>
      <c r="H85" s="3" t="n"/>
      <c r="I85" s="3" t="n"/>
      <c r="J85" s="3" t="n"/>
      <c r="K85" s="2" t="inlineStr">
        <is>
          <t>Y</t>
        </is>
      </c>
      <c r="L85" s="2" t="inlineStr">
        <is>
          <t>failed</t>
        </is>
      </c>
      <c r="M85" s="3" t="n"/>
      <c r="N85" s="3" t="n"/>
      <c r="O85" s="3" t="n"/>
      <c r="P85" s="3" t="n"/>
      <c r="Q85" s="3" t="n"/>
      <c r="R85" s="3" t="n"/>
    </row>
    <row r="86">
      <c r="A86" s="2" t="inlineStr">
        <is>
          <t>hero_motocorp_xpulse_210_std</t>
        </is>
      </c>
      <c r="B86" s="3" t="n"/>
      <c r="C86" s="9" t="inlineStr">
        <is>
          <t>https://youtu.be/66rjIppjNgM?si=i2RXyFdE1zLroSj_</t>
        </is>
      </c>
      <c r="D86" s="3" t="n"/>
      <c r="E86" s="3" t="n"/>
      <c r="F86" s="3" t="n"/>
      <c r="G86" s="3" t="n"/>
      <c r="H86" s="3" t="n"/>
      <c r="I86" s="3" t="n"/>
      <c r="J86" s="3" t="n"/>
      <c r="K86" s="2" t="inlineStr">
        <is>
          <t>Y</t>
        </is>
      </c>
      <c r="L86" s="2" t="inlineStr">
        <is>
          <t>done</t>
        </is>
      </c>
      <c r="M86" s="3" t="inlineStr">
        <is>
          <t>transcripts\hero_motocorp_xpulse_210_std.txt</t>
        </is>
      </c>
      <c r="N86" s="3" t="n"/>
      <c r="O86" s="3" t="n"/>
      <c r="P86" s="3" t="n"/>
      <c r="Q86" s="3" t="n"/>
      <c r="R86" s="3" t="n"/>
    </row>
    <row r="87">
      <c r="A87" s="2" t="inlineStr">
        <is>
          <t>hero_motocorp_pleasure_plus_lx</t>
        </is>
      </c>
      <c r="B87" s="3" t="n"/>
      <c r="C87" s="9" t="inlineStr">
        <is>
          <t>https://youtu.be/aBcWjNt67Mw?si=R22IG4S20scGcQLA</t>
        </is>
      </c>
      <c r="D87" s="3" t="n"/>
      <c r="E87" s="3" t="n"/>
      <c r="F87" s="3" t="n"/>
      <c r="G87" s="3" t="n"/>
      <c r="H87" s="3" t="n"/>
      <c r="I87" s="3" t="n"/>
      <c r="J87" s="3" t="n"/>
      <c r="K87" s="2" t="inlineStr">
        <is>
          <t>Y</t>
        </is>
      </c>
      <c r="L87" s="2" t="inlineStr">
        <is>
          <t>done</t>
        </is>
      </c>
      <c r="M87" s="3" t="inlineStr">
        <is>
          <t>transcripts\hero_motocorp_pleasure_plus_lx.txt</t>
        </is>
      </c>
      <c r="N87" s="3" t="n"/>
      <c r="O87" s="3" t="n"/>
      <c r="P87" s="3" t="n"/>
      <c r="Q87" s="3" t="n"/>
      <c r="R87" s="3" t="n"/>
    </row>
    <row r="88">
      <c r="A88" s="2" t="inlineStr">
        <is>
          <t>hero_motocorp_destini_110_std</t>
        </is>
      </c>
      <c r="B88" s="3" t="n"/>
      <c r="C88" s="3" t="inlineStr">
        <is>
          <t>https://youtu.be/IJAQp-bod8U?si=C73WMOzlLe7RMzLA</t>
        </is>
      </c>
      <c r="D88" s="3" t="n"/>
      <c r="E88" s="3" t="n"/>
      <c r="F88" s="3" t="n"/>
      <c r="G88" s="3" t="n"/>
      <c r="H88" s="3" t="n"/>
      <c r="I88" s="3" t="n"/>
      <c r="J88" s="3" t="n"/>
      <c r="K88" s="2" t="inlineStr">
        <is>
          <t>Y</t>
        </is>
      </c>
      <c r="L88" s="2" t="inlineStr">
        <is>
          <t>done</t>
        </is>
      </c>
      <c r="M88" s="3" t="inlineStr">
        <is>
          <t>transcripts\hero_motocorp_destini_110_std.txt</t>
        </is>
      </c>
      <c r="N88" s="3" t="n"/>
      <c r="O88" s="3" t="n"/>
      <c r="P88" s="3" t="n"/>
      <c r="Q88" s="3" t="n"/>
      <c r="R88" s="3" t="n"/>
    </row>
    <row r="89">
      <c r="A89" s="2" t="inlineStr">
        <is>
          <t>hero_motocorp_destini_125_vx</t>
        </is>
      </c>
      <c r="B89" s="3" t="n"/>
      <c r="C89" s="3" t="inlineStr">
        <is>
          <t>https://youtu.be/9wg59LlW78s?si=rPMKFNbgu9R5-sdO</t>
        </is>
      </c>
      <c r="D89" s="3" t="n"/>
      <c r="E89" s="3" t="n"/>
      <c r="F89" s="3" t="n"/>
      <c r="G89" s="3" t="n"/>
      <c r="H89" s="3" t="n"/>
      <c r="I89" s="3" t="n"/>
      <c r="J89" s="3" t="n"/>
      <c r="K89" s="2" t="inlineStr">
        <is>
          <t>Y</t>
        </is>
      </c>
      <c r="L89" s="2" t="inlineStr">
        <is>
          <t>done</t>
        </is>
      </c>
      <c r="M89" s="3" t="inlineStr">
        <is>
          <t>transcripts\hero_motocorp_destini_125_vx.txt</t>
        </is>
      </c>
      <c r="N89" s="3" t="n"/>
      <c r="O89" s="3" t="n"/>
      <c r="P89" s="3" t="n"/>
      <c r="Q89" s="3" t="n"/>
      <c r="R89" s="3" t="n"/>
    </row>
    <row r="90">
      <c r="A90" s="2" t="inlineStr">
        <is>
          <t>hero_motocorp_xoom_110_lx</t>
        </is>
      </c>
      <c r="B90" s="3" t="n"/>
      <c r="C90" s="9" t="inlineStr">
        <is>
          <t>https://youtu.be/MI3MrOhEbw8?si=-OBMcZDLZtuldkdO</t>
        </is>
      </c>
      <c r="D90" s="3" t="n"/>
      <c r="E90" s="3" t="n"/>
      <c r="F90" s="3" t="n"/>
      <c r="G90" s="3" t="n"/>
      <c r="H90" s="3" t="n"/>
      <c r="I90" s="3" t="n"/>
      <c r="J90" s="3" t="n"/>
      <c r="K90" s="2" t="inlineStr">
        <is>
          <t>Y</t>
        </is>
      </c>
      <c r="L90" s="2" t="inlineStr">
        <is>
          <t>done</t>
        </is>
      </c>
      <c r="M90" s="3" t="inlineStr">
        <is>
          <t>transcripts\hero_motocorp_xoom_110_lx.txt</t>
        </is>
      </c>
      <c r="N90" s="3" t="n"/>
      <c r="O90" s="3" t="n"/>
      <c r="P90" s="3" t="n"/>
      <c r="Q90" s="3" t="n"/>
      <c r="R90" s="3" t="n"/>
    </row>
    <row r="91">
      <c r="A91" s="2" t="inlineStr">
        <is>
          <t>hero_motocorp_xoom_125_zx</t>
        </is>
      </c>
      <c r="B91" s="3" t="n"/>
      <c r="C91" s="9" t="inlineStr">
        <is>
          <t>https://youtu.be/OixN-paU1RY?si=RzzGRbBbP9BYoKVO</t>
        </is>
      </c>
      <c r="D91" s="3" t="n"/>
      <c r="E91" s="3" t="n"/>
      <c r="F91" s="3" t="n"/>
      <c r="G91" s="3" t="n"/>
      <c r="H91" s="3" t="n"/>
      <c r="I91" s="3" t="n"/>
      <c r="J91" s="3" t="n"/>
      <c r="K91" s="2" t="inlineStr">
        <is>
          <t>Y</t>
        </is>
      </c>
      <c r="L91" s="2" t="inlineStr">
        <is>
          <t>done</t>
        </is>
      </c>
      <c r="M91" s="3" t="inlineStr">
        <is>
          <t>transcripts\hero_motocorp_xoom_125_zx.txt</t>
        </is>
      </c>
      <c r="N91" s="3" t="n"/>
      <c r="O91" s="3" t="n"/>
      <c r="P91" s="3" t="n"/>
      <c r="Q91" s="3" t="n"/>
      <c r="R91" s="3" t="n"/>
    </row>
    <row r="92">
      <c r="A92" s="2" t="inlineStr">
        <is>
          <t>hero_motocorp_xoom_160_std</t>
        </is>
      </c>
      <c r="B92" s="3" t="n"/>
      <c r="C92" s="9" t="inlineStr">
        <is>
          <t>https://youtu.be/3BcuIEIn4Hk?si=pYYfzrqPFW_Oz024</t>
        </is>
      </c>
      <c r="D92" s="3" t="n"/>
      <c r="E92" s="3" t="n"/>
      <c r="F92" s="3" t="n"/>
      <c r="G92" s="3" t="n"/>
      <c r="H92" s="3" t="n"/>
      <c r="I92" s="3" t="n"/>
      <c r="J92" s="3" t="n"/>
      <c r="K92" s="2" t="inlineStr">
        <is>
          <t>Y</t>
        </is>
      </c>
      <c r="L92" s="2" t="inlineStr">
        <is>
          <t>done</t>
        </is>
      </c>
      <c r="M92" s="3" t="inlineStr">
        <is>
          <t>transcripts\hero_motocorp_xoom_160_std.txt</t>
        </is>
      </c>
      <c r="N92" s="3" t="n"/>
      <c r="O92" s="3" t="n"/>
      <c r="P92" s="3" t="n"/>
      <c r="Q92" s="3" t="n"/>
      <c r="R92" s="3" t="n"/>
    </row>
    <row r="93">
      <c r="A93" s="2" t="inlineStr">
        <is>
          <t>honda_shine_100_standard</t>
        </is>
      </c>
      <c r="B93" s="3" t="n"/>
      <c r="C93" s="9" t="inlineStr">
        <is>
          <t>https://youtu.be/f_ZK8XnzbG4?si=379Y4sD6IWMygb_m</t>
        </is>
      </c>
      <c r="D93" s="3" t="n"/>
      <c r="E93" s="3" t="n"/>
      <c r="F93" s="3" t="n"/>
      <c r="G93" s="3" t="n"/>
      <c r="H93" s="3" t="n"/>
      <c r="I93" s="3" t="n"/>
      <c r="J93" s="3" t="n"/>
      <c r="K93" s="2" t="inlineStr">
        <is>
          <t>Y</t>
        </is>
      </c>
      <c r="L93" s="2" t="inlineStr">
        <is>
          <t>done</t>
        </is>
      </c>
      <c r="M93" s="3" t="inlineStr">
        <is>
          <t>transcripts\honda_shine_100_standard.txt</t>
        </is>
      </c>
      <c r="N93" s="3" t="n"/>
      <c r="O93" s="3" t="n"/>
      <c r="P93" s="3" t="n"/>
      <c r="Q93" s="3" t="n"/>
      <c r="R93" s="3" t="n"/>
    </row>
    <row r="94">
      <c r="A94" s="2" t="inlineStr">
        <is>
          <t>honda_livo_drum_obd2</t>
        </is>
      </c>
      <c r="B94" s="3" t="n"/>
      <c r="C94" s="9" t="inlineStr">
        <is>
          <t>https://youtu.be/05PfY3aD6n0?si=zqjjxwy0X_t-X2dW</t>
        </is>
      </c>
      <c r="D94" s="3" t="n"/>
      <c r="E94" s="3" t="n"/>
      <c r="F94" s="3" t="n"/>
      <c r="G94" s="3" t="n"/>
      <c r="H94" s="3" t="n"/>
      <c r="I94" s="3" t="n"/>
      <c r="J94" s="3" t="n"/>
      <c r="K94" s="2" t="inlineStr">
        <is>
          <t>Y</t>
        </is>
      </c>
      <c r="L94" s="2" t="inlineStr">
        <is>
          <t>done</t>
        </is>
      </c>
      <c r="M94" s="3" t="inlineStr">
        <is>
          <t>transcripts\honda_livo_drum_obd2.txt</t>
        </is>
      </c>
      <c r="N94" s="3" t="n"/>
      <c r="O94" s="3" t="n"/>
      <c r="P94" s="3" t="n"/>
      <c r="Q94" s="3" t="n"/>
      <c r="R94" s="3" t="n"/>
    </row>
    <row r="95">
      <c r="A95" s="2" t="inlineStr">
        <is>
          <t>honda_shine_125_drum_obd2</t>
        </is>
      </c>
      <c r="B95" s="3" t="n"/>
      <c r="C95" s="9" t="inlineStr">
        <is>
          <t>https://youtu.be/xwc2TPYIZWo?si=gpC1LkJLjSifJqFm</t>
        </is>
      </c>
      <c r="D95" s="3" t="n"/>
      <c r="E95" s="3" t="n"/>
      <c r="F95" s="3" t="n"/>
      <c r="G95" s="3" t="n"/>
      <c r="H95" s="3" t="n"/>
      <c r="I95" s="3" t="n"/>
      <c r="J95" s="3" t="n"/>
      <c r="K95" s="2" t="inlineStr">
        <is>
          <t>Y</t>
        </is>
      </c>
      <c r="L95" s="2" t="inlineStr">
        <is>
          <t>done</t>
        </is>
      </c>
      <c r="M95" s="3" t="inlineStr">
        <is>
          <t>transcripts\honda_shine_125_drum_obd2.txt</t>
        </is>
      </c>
      <c r="N95" s="3" t="n"/>
      <c r="O95" s="3" t="n"/>
      <c r="P95" s="3" t="n"/>
      <c r="Q95" s="3" t="n"/>
      <c r="R95" s="3" t="n"/>
    </row>
    <row r="96">
      <c r="A96" s="2" t="inlineStr">
        <is>
          <t>honda_sp_125_drum_obd2</t>
        </is>
      </c>
      <c r="B96" s="3" t="n"/>
      <c r="C96" s="9" t="inlineStr">
        <is>
          <t>https://youtu.be/TaKzvvGUB-g?si=xTjmhHqpJLLL-Z5W</t>
        </is>
      </c>
      <c r="D96" s="3" t="n"/>
      <c r="E96" s="3" t="n"/>
      <c r="F96" s="3" t="n"/>
      <c r="G96" s="3" t="n"/>
      <c r="H96" s="3" t="n"/>
      <c r="I96" s="3" t="n"/>
      <c r="J96" s="3" t="n"/>
      <c r="K96" s="2" t="inlineStr">
        <is>
          <t>Y</t>
        </is>
      </c>
      <c r="L96" s="2" t="inlineStr">
        <is>
          <t>done</t>
        </is>
      </c>
      <c r="M96" s="3" t="inlineStr">
        <is>
          <t>transcripts\honda_sp_125_drum_obd2.txt</t>
        </is>
      </c>
      <c r="N96" s="3" t="n"/>
      <c r="O96" s="3" t="n"/>
      <c r="P96" s="3" t="n"/>
      <c r="Q96" s="3" t="n"/>
      <c r="R96" s="3" t="n"/>
    </row>
    <row r="97">
      <c r="A97" s="2" t="inlineStr">
        <is>
          <t>honda_unicorn_standard_obd2</t>
        </is>
      </c>
      <c r="B97" s="3" t="n"/>
      <c r="C97" s="3" t="inlineStr">
        <is>
          <t>https://youtu.be/9jJsAUF7XS0?si=2LIx38uAoM1X03qz</t>
        </is>
      </c>
      <c r="D97" s="3" t="n"/>
      <c r="E97" s="3" t="n"/>
      <c r="F97" s="3" t="n"/>
      <c r="G97" s="3" t="n"/>
      <c r="H97" s="3" t="n"/>
      <c r="I97" s="3" t="n"/>
      <c r="J97" s="3" t="n"/>
      <c r="K97" s="2" t="inlineStr">
        <is>
          <t>Y</t>
        </is>
      </c>
      <c r="L97" s="2" t="inlineStr">
        <is>
          <t>done</t>
        </is>
      </c>
      <c r="M97" s="3" t="inlineStr">
        <is>
          <t>transcripts\honda_unicorn_standard_obd2.txt</t>
        </is>
      </c>
      <c r="N97" s="3" t="n"/>
      <c r="O97" s="3" t="n"/>
      <c r="P97" s="3" t="n"/>
      <c r="Q97" s="3" t="n"/>
      <c r="R97" s="3" t="n"/>
    </row>
    <row r="98">
      <c r="A98" s="2" t="inlineStr">
        <is>
          <t>honda_sp_160_single_disc</t>
        </is>
      </c>
      <c r="B98" s="3" t="n"/>
      <c r="C98" s="9" t="inlineStr">
        <is>
          <t>https://youtu.be/fMAVOQz9L9A?si=9eos5BfO8YDV4AOT</t>
        </is>
      </c>
      <c r="D98" s="3" t="n"/>
      <c r="E98" s="3" t="n"/>
      <c r="F98" s="3" t="n"/>
      <c r="G98" s="3" t="n"/>
      <c r="H98" s="3" t="n"/>
      <c r="I98" s="3" t="n"/>
      <c r="J98" s="3" t="n"/>
      <c r="K98" s="2" t="inlineStr">
        <is>
          <t>Y</t>
        </is>
      </c>
      <c r="L98" s="2" t="inlineStr">
        <is>
          <t>done</t>
        </is>
      </c>
      <c r="M98" s="3" t="inlineStr">
        <is>
          <t>transcripts\honda_sp_160_single_disc.txt</t>
        </is>
      </c>
      <c r="N98" s="3" t="n"/>
      <c r="O98" s="3" t="n"/>
      <c r="P98" s="3" t="n"/>
      <c r="Q98" s="3" t="n"/>
      <c r="R98" s="3" t="n"/>
    </row>
    <row r="99">
      <c r="A99" s="2" t="inlineStr">
        <is>
          <t>honda_cb_125_hornet_standard</t>
        </is>
      </c>
      <c r="B99" s="3" t="n"/>
      <c r="C99" s="9" t="inlineStr">
        <is>
          <t>https://youtu.be/1F84sRGV2i0?si=iYaHye8z3NCkPdYA</t>
        </is>
      </c>
      <c r="D99" s="3" t="n"/>
      <c r="E99" s="3" t="n"/>
      <c r="F99" s="3" t="n"/>
      <c r="G99" s="3" t="n"/>
      <c r="H99" s="3" t="n"/>
      <c r="I99" s="3" t="n"/>
      <c r="J99" s="3" t="n"/>
      <c r="K99" s="2" t="inlineStr">
        <is>
          <t>Y</t>
        </is>
      </c>
      <c r="L99" s="2" t="inlineStr">
        <is>
          <t>done</t>
        </is>
      </c>
      <c r="M99" s="3" t="inlineStr">
        <is>
          <t>transcripts\honda_cb_125_hornet_standard.txt</t>
        </is>
      </c>
      <c r="N99" s="3" t="n"/>
      <c r="O99" s="3" t="n"/>
      <c r="P99" s="3" t="n"/>
      <c r="Q99" s="3" t="n"/>
      <c r="R99" s="3" t="n"/>
    </row>
    <row r="100">
      <c r="A100" s="2" t="inlineStr">
        <is>
          <t>honda_hornet_2_0_standard_obd2</t>
        </is>
      </c>
      <c r="B100" s="3" t="n"/>
      <c r="C100" s="3" t="inlineStr">
        <is>
          <t>https://youtu.be/zjZagQLTGD8?si=BtTKX-fB97A_YyM2</t>
        </is>
      </c>
      <c r="D100" s="3" t="n"/>
      <c r="E100" s="3" t="n"/>
      <c r="F100" s="3" t="n"/>
      <c r="G100" s="3" t="n"/>
      <c r="H100" s="3" t="n"/>
      <c r="I100" s="3" t="n"/>
      <c r="J100" s="3" t="n"/>
      <c r="K100" s="2" t="inlineStr">
        <is>
          <t>Y</t>
        </is>
      </c>
      <c r="L100" s="2" t="inlineStr">
        <is>
          <t>failed</t>
        </is>
      </c>
      <c r="M100" s="3" t="n"/>
      <c r="N100" s="3" t="n"/>
      <c r="O100" s="3" t="n"/>
      <c r="P100" s="3" t="n"/>
      <c r="Q100" s="3" t="n"/>
      <c r="R100" s="3" t="n"/>
    </row>
    <row r="101">
      <c r="A101" s="2" t="inlineStr">
        <is>
          <t>honda_cb350_dlx</t>
        </is>
      </c>
      <c r="B101" s="3" t="n"/>
      <c r="C101" s="3" t="inlineStr">
        <is>
          <t>https://youtu.be/8_G8Gn7_-VE?si=uRfRyg8WW22ga_mq</t>
        </is>
      </c>
      <c r="D101" s="3" t="n"/>
      <c r="E101" s="3" t="n"/>
      <c r="F101" s="3" t="n"/>
      <c r="G101" s="3" t="n"/>
      <c r="H101" s="3" t="n"/>
      <c r="I101" s="3" t="n"/>
      <c r="J101" s="3" t="n"/>
      <c r="K101" s="2" t="inlineStr">
        <is>
          <t>Y</t>
        </is>
      </c>
      <c r="L101" s="2" t="inlineStr">
        <is>
          <t>done</t>
        </is>
      </c>
      <c r="M101" s="3" t="inlineStr">
        <is>
          <t>transcripts\honda_cb350_dlx.txt</t>
        </is>
      </c>
      <c r="N101" s="3" t="n"/>
      <c r="O101" s="3" t="n"/>
      <c r="P101" s="3" t="n"/>
      <c r="Q101" s="3" t="n"/>
      <c r="R101" s="3" t="n"/>
    </row>
    <row r="102">
      <c r="A102" s="2" t="inlineStr">
        <is>
          <t>honda_h_ness_cb350_dlx</t>
        </is>
      </c>
      <c r="B102" s="3" t="n"/>
      <c r="C102" s="3" t="inlineStr">
        <is>
          <t>https://youtu.be/v4xNCvZhyQs?si=AMDurHkcfgIVNW_a</t>
        </is>
      </c>
      <c r="D102" s="3" t="n"/>
      <c r="E102" s="3" t="n"/>
      <c r="F102" s="3" t="n"/>
      <c r="G102" s="3" t="n"/>
      <c r="H102" s="3" t="n"/>
      <c r="I102" s="3" t="n"/>
      <c r="J102" s="3" t="n"/>
      <c r="K102" s="2" t="inlineStr">
        <is>
          <t>Y</t>
        </is>
      </c>
      <c r="L102" s="2" t="inlineStr">
        <is>
          <t>done</t>
        </is>
      </c>
      <c r="M102" s="3" t="inlineStr">
        <is>
          <t>transcripts\honda_h_ness_cb350_dlx.txt</t>
        </is>
      </c>
      <c r="N102" s="3" t="n"/>
      <c r="O102" s="3" t="n"/>
      <c r="P102" s="3" t="n"/>
      <c r="Q102" s="3" t="n"/>
      <c r="R102" s="3" t="n"/>
    </row>
    <row r="103">
      <c r="A103" s="2" t="inlineStr">
        <is>
          <t>honda_cb350rs_dlx</t>
        </is>
      </c>
      <c r="B103" s="3" t="n"/>
      <c r="C103" s="9" t="inlineStr">
        <is>
          <t>https://youtu.be/VGkh9ldQfcI?si=nwhMQQylLp2QWEcr</t>
        </is>
      </c>
      <c r="D103" s="3" t="n"/>
      <c r="E103" s="3" t="n"/>
      <c r="F103" s="3" t="n"/>
      <c r="G103" s="3" t="n"/>
      <c r="H103" s="3" t="n"/>
      <c r="I103" s="3" t="n"/>
      <c r="J103" s="3" t="n"/>
      <c r="K103" s="2" t="inlineStr">
        <is>
          <t>Y</t>
        </is>
      </c>
      <c r="L103" s="2" t="inlineStr">
        <is>
          <t>failed</t>
        </is>
      </c>
      <c r="M103" s="3" t="n"/>
      <c r="N103" s="3" t="n"/>
      <c r="O103" s="3" t="n"/>
      <c r="P103" s="3" t="n"/>
      <c r="Q103" s="3" t="n"/>
      <c r="R103" s="3" t="n"/>
    </row>
    <row r="104">
      <c r="A104" s="2" t="inlineStr">
        <is>
          <t>honda_cb350c_standard</t>
        </is>
      </c>
      <c r="B104" s="3" t="n"/>
      <c r="C104" s="9" t="inlineStr">
        <is>
          <t>https://youtu.be/sMIoVaSenME?si=kh2Cm9SVghQDrwPv</t>
        </is>
      </c>
      <c r="D104" s="3" t="n"/>
      <c r="E104" s="3" t="n"/>
      <c r="F104" s="3" t="n"/>
      <c r="G104" s="3" t="n"/>
      <c r="H104" s="3" t="n"/>
      <c r="I104" s="3" t="n"/>
      <c r="J104" s="3" t="n"/>
      <c r="K104" s="2" t="inlineStr">
        <is>
          <t>Y</t>
        </is>
      </c>
      <c r="L104" s="2" t="inlineStr">
        <is>
          <t>done</t>
        </is>
      </c>
      <c r="M104" s="3" t="inlineStr">
        <is>
          <t>transcripts\honda_cb350c_standard.txt</t>
        </is>
      </c>
      <c r="N104" s="3" t="n"/>
      <c r="O104" s="3" t="n"/>
      <c r="P104" s="3" t="n"/>
      <c r="Q104" s="3" t="n"/>
      <c r="R104" s="3" t="n"/>
    </row>
    <row r="105">
      <c r="A105" s="2" t="inlineStr">
        <is>
          <t>honda_nx200_standard_obd2</t>
        </is>
      </c>
      <c r="B105" s="3" t="n"/>
      <c r="C105" s="3" t="inlineStr">
        <is>
          <t>https://youtu.be/nm5MdGPL3sg?si=p1WwOgPp2Tw9EzD_</t>
        </is>
      </c>
      <c r="D105" s="3" t="n"/>
      <c r="E105" s="3" t="n"/>
      <c r="F105" s="3" t="n"/>
      <c r="G105" s="3" t="n"/>
      <c r="H105" s="3" t="n"/>
      <c r="I105" s="3" t="n"/>
      <c r="J105" s="3" t="n"/>
      <c r="K105" s="2" t="inlineStr">
        <is>
          <t>Y</t>
        </is>
      </c>
      <c r="L105" s="2" t="inlineStr">
        <is>
          <t>done</t>
        </is>
      </c>
      <c r="M105" s="3" t="inlineStr">
        <is>
          <t>transcripts\honda_nx200_standard_obd2.txt</t>
        </is>
      </c>
      <c r="N105" s="3" t="n"/>
      <c r="O105" s="3" t="n"/>
      <c r="P105" s="3" t="n"/>
      <c r="Q105" s="3" t="n"/>
      <c r="R105" s="3" t="n"/>
    </row>
    <row r="106">
      <c r="A106" s="2" t="inlineStr">
        <is>
          <t>honda_activa_6g_standard_obd2</t>
        </is>
      </c>
      <c r="B106" s="3" t="n"/>
      <c r="C106" s="3" t="inlineStr">
        <is>
          <t>https://youtu.be/yZaUHA7ARgI?si=QbIjXUOLPGcVdwB0</t>
        </is>
      </c>
      <c r="D106" s="3" t="n"/>
      <c r="E106" s="3" t="n"/>
      <c r="F106" s="3" t="n"/>
      <c r="G106" s="3" t="n"/>
      <c r="H106" s="3" t="n"/>
      <c r="I106" s="3" t="n"/>
      <c r="J106" s="3" t="n"/>
      <c r="K106" s="2" t="inlineStr">
        <is>
          <t>Y</t>
        </is>
      </c>
      <c r="L106" s="2" t="inlineStr">
        <is>
          <t>done</t>
        </is>
      </c>
      <c r="M106" s="3" t="inlineStr">
        <is>
          <t>transcripts\honda_activa_6g_standard_obd2.txt</t>
        </is>
      </c>
      <c r="N106" s="3" t="n"/>
      <c r="O106" s="3" t="n"/>
      <c r="P106" s="3" t="n"/>
      <c r="Q106" s="3" t="n"/>
      <c r="R106" s="3" t="n"/>
    </row>
    <row r="107">
      <c r="A107" s="2" t="inlineStr">
        <is>
          <t>honda_activa_125_drum_obd2</t>
        </is>
      </c>
      <c r="B107" s="3" t="n"/>
      <c r="C107" s="3" t="inlineStr">
        <is>
          <t>https://youtu.be/CSLzcp-OIE8?si=qIdNz2m1HwOWLt8U</t>
        </is>
      </c>
      <c r="D107" s="3" t="n"/>
      <c r="E107" s="3" t="n"/>
      <c r="F107" s="3" t="n"/>
      <c r="G107" s="3" t="n"/>
      <c r="H107" s="3" t="n"/>
      <c r="I107" s="3" t="n"/>
      <c r="J107" s="3" t="n"/>
      <c r="K107" s="2" t="inlineStr">
        <is>
          <t>Y</t>
        </is>
      </c>
      <c r="L107" s="2" t="inlineStr">
        <is>
          <t>done</t>
        </is>
      </c>
      <c r="M107" s="3" t="inlineStr">
        <is>
          <t>transcripts\honda_activa_125_drum_obd2.txt</t>
        </is>
      </c>
      <c r="N107" s="3" t="n"/>
      <c r="O107" s="3" t="n"/>
      <c r="P107" s="3" t="n"/>
      <c r="Q107" s="3" t="n"/>
      <c r="R107" s="3" t="n"/>
    </row>
    <row r="108">
      <c r="A108" s="2" t="inlineStr">
        <is>
          <t>honda_dio_standard_obd2</t>
        </is>
      </c>
      <c r="B108" s="3" t="n"/>
      <c r="C108" s="3" t="inlineStr">
        <is>
          <t>https://youtu.be/va7_DTRhW-w?si=7ZEK1Y0Mnt-C_HmI</t>
        </is>
      </c>
      <c r="D108" s="3" t="n"/>
      <c r="E108" s="3" t="n"/>
      <c r="F108" s="3" t="n"/>
      <c r="G108" s="3" t="n"/>
      <c r="H108" s="3" t="n"/>
      <c r="I108" s="3" t="n"/>
      <c r="J108" s="3" t="n"/>
      <c r="K108" s="2" t="inlineStr">
        <is>
          <t>Y</t>
        </is>
      </c>
      <c r="L108" s="2" t="inlineStr">
        <is>
          <t>done</t>
        </is>
      </c>
      <c r="M108" s="3" t="inlineStr">
        <is>
          <t>transcripts\honda_dio_standard_obd2.txt</t>
        </is>
      </c>
      <c r="N108" s="3" t="n"/>
      <c r="O108" s="3" t="n"/>
      <c r="P108" s="3" t="n"/>
      <c r="Q108" s="3" t="n"/>
      <c r="R108" s="3" t="n"/>
    </row>
    <row r="109">
      <c r="A109" s="2" t="inlineStr">
        <is>
          <t>honda_dio_125_standard_obd2</t>
        </is>
      </c>
      <c r="B109" s="3" t="n"/>
      <c r="C109" s="3" t="inlineStr">
        <is>
          <t>https://youtu.be/bOuqAFvqu7M?si=Yv6GSVa4coKtUmhJ</t>
        </is>
      </c>
      <c r="D109" s="3" t="n"/>
      <c r="E109" s="3" t="n"/>
      <c r="F109" s="3" t="n"/>
      <c r="G109" s="3" t="n"/>
      <c r="H109" s="3" t="n"/>
      <c r="I109" s="3" t="n"/>
      <c r="J109" s="3" t="n"/>
      <c r="K109" s="2" t="inlineStr">
        <is>
          <t>Y</t>
        </is>
      </c>
      <c r="L109" s="2" t="inlineStr">
        <is>
          <t>done</t>
        </is>
      </c>
      <c r="M109" s="3" t="inlineStr">
        <is>
          <t>transcripts\honda_dio_125_standard_obd2.txt</t>
        </is>
      </c>
      <c r="N109" s="3" t="n"/>
      <c r="O109" s="3" t="n"/>
      <c r="P109" s="3" t="n"/>
      <c r="Q109" s="3" t="n"/>
      <c r="R109" s="3" t="n"/>
    </row>
    <row r="110">
      <c r="A110" s="2" t="inlineStr">
        <is>
          <t>honda_transalp_xl750_standard</t>
        </is>
      </c>
      <c r="B110" s="3" t="n"/>
      <c r="C110" s="3" t="inlineStr">
        <is>
          <t>https://youtu.be/UY7zXoRqYJE?si=WDkV7QfiuRPPQC_q</t>
        </is>
      </c>
      <c r="D110" s="3" t="n"/>
      <c r="E110" s="3" t="n"/>
      <c r="F110" s="3" t="n"/>
      <c r="G110" s="3" t="n"/>
      <c r="H110" s="3" t="n"/>
      <c r="I110" s="3" t="n"/>
      <c r="J110" s="3" t="n"/>
      <c r="K110" s="2" t="inlineStr">
        <is>
          <t>Y</t>
        </is>
      </c>
      <c r="L110" s="2" t="inlineStr">
        <is>
          <t>done</t>
        </is>
      </c>
      <c r="M110" s="3" t="inlineStr">
        <is>
          <t>transcripts\honda_transalp_xl750_standard.txt</t>
        </is>
      </c>
      <c r="N110" s="3" t="n"/>
      <c r="O110" s="3" t="n"/>
      <c r="P110" s="3" t="n"/>
      <c r="Q110" s="3" t="n"/>
      <c r="R110" s="3" t="n"/>
    </row>
    <row r="111">
      <c r="A111" s="2" t="inlineStr">
        <is>
          <t>honda_nx500_standard</t>
        </is>
      </c>
      <c r="B111" s="3" t="n"/>
      <c r="C111" s="3" t="inlineStr">
        <is>
          <t>https://youtu.be/LqjCMxttuEs?si=aXtFu0m6dioJIv53</t>
        </is>
      </c>
      <c r="D111" s="3" t="n"/>
      <c r="E111" s="3" t="n"/>
      <c r="F111" s="3" t="n"/>
      <c r="G111" s="3" t="n"/>
      <c r="H111" s="3" t="n"/>
      <c r="I111" s="3" t="n"/>
      <c r="J111" s="3" t="n"/>
      <c r="K111" s="2" t="inlineStr">
        <is>
          <t>Y</t>
        </is>
      </c>
      <c r="L111" s="2" t="inlineStr">
        <is>
          <t>done</t>
        </is>
      </c>
      <c r="M111" s="3" t="inlineStr">
        <is>
          <t>transcripts\honda_nx500_standard.txt</t>
        </is>
      </c>
      <c r="N111" s="3" t="n"/>
      <c r="O111" s="3" t="n"/>
      <c r="P111" s="3" t="n"/>
      <c r="Q111" s="3" t="n"/>
      <c r="R111" s="3" t="n"/>
    </row>
    <row r="112">
      <c r="A112" s="2" t="inlineStr">
        <is>
          <t>honda_cb750_hornet_standard</t>
        </is>
      </c>
      <c r="B112" s="3" t="n"/>
      <c r="C112" s="3" t="inlineStr">
        <is>
          <t>https://youtu.be/_mARCHuy4PE?si=ygstb6IXyqkC4cfp</t>
        </is>
      </c>
      <c r="D112" s="3" t="n"/>
      <c r="E112" s="3" t="n"/>
      <c r="F112" s="3" t="n"/>
      <c r="G112" s="3" t="n"/>
      <c r="H112" s="3" t="n"/>
      <c r="I112" s="3" t="n"/>
      <c r="J112" s="3" t="n"/>
      <c r="K112" s="2" t="inlineStr">
        <is>
          <t>Y</t>
        </is>
      </c>
      <c r="L112" s="2" t="inlineStr">
        <is>
          <t>done</t>
        </is>
      </c>
      <c r="M112" s="3" t="inlineStr">
        <is>
          <t>transcripts\honda_cb750_hornet_standard.txt</t>
        </is>
      </c>
      <c r="N112" s="3" t="n"/>
      <c r="O112" s="3" t="n"/>
      <c r="P112" s="3" t="n"/>
      <c r="Q112" s="3" t="n"/>
      <c r="R112" s="3" t="n"/>
    </row>
    <row r="113">
      <c r="A113" s="2" t="inlineStr">
        <is>
          <t>honda_cb1000_hornet_standard</t>
        </is>
      </c>
      <c r="B113" s="3" t="n"/>
      <c r="C113" s="3" t="inlineStr">
        <is>
          <t>https://youtu.be/hlrPMfJFNhA?si=nYCVMvvlnMoYoo-1</t>
        </is>
      </c>
      <c r="D113" s="3" t="n"/>
      <c r="E113" s="3" t="n"/>
      <c r="F113" s="3" t="n"/>
      <c r="G113" s="3" t="n"/>
      <c r="H113" s="3" t="n"/>
      <c r="I113" s="3" t="n"/>
      <c r="J113" s="3" t="n"/>
      <c r="K113" s="2" t="inlineStr">
        <is>
          <t>Y</t>
        </is>
      </c>
      <c r="L113" s="2" t="inlineStr">
        <is>
          <t>done</t>
        </is>
      </c>
      <c r="M113" s="3" t="inlineStr">
        <is>
          <t>transcripts\honda_cb1000_hornet_standard.txt</t>
        </is>
      </c>
      <c r="N113" s="3" t="n"/>
      <c r="O113" s="3" t="n"/>
      <c r="P113" s="3" t="n"/>
      <c r="Q113" s="3" t="n"/>
      <c r="R113" s="3" t="n"/>
    </row>
    <row r="114">
      <c r="A114" s="2" t="inlineStr">
        <is>
          <t>honda_cbr1000rr_r_fireblade_sp</t>
        </is>
      </c>
      <c r="B114" s="3" t="n"/>
      <c r="C114" s="3" t="inlineStr">
        <is>
          <t>https://youtu.be/mEJQ9h3Bia4?si=5mHWmDaNUprYAIot</t>
        </is>
      </c>
      <c r="D114" s="3" t="n"/>
      <c r="E114" s="3" t="n"/>
      <c r="F114" s="3" t="n"/>
      <c r="G114" s="3" t="n"/>
      <c r="H114" s="3" t="n"/>
      <c r="I114" s="3" t="n"/>
      <c r="J114" s="3" t="n"/>
      <c r="K114" s="2" t="inlineStr">
        <is>
          <t>Y</t>
        </is>
      </c>
      <c r="L114" s="2" t="inlineStr">
        <is>
          <t>done</t>
        </is>
      </c>
      <c r="M114" s="3" t="inlineStr">
        <is>
          <t>transcripts\honda_cbr1000rr_r_fireblade_sp.txt</t>
        </is>
      </c>
      <c r="N114" s="3" t="n"/>
      <c r="O114" s="3" t="n"/>
      <c r="P114" s="3" t="n"/>
      <c r="Q114" s="3" t="n"/>
      <c r="R114" s="3" t="n"/>
    </row>
    <row r="115">
      <c r="A115" s="2" t="inlineStr">
        <is>
          <t>honda_goldwing_tour_dct_airbag</t>
        </is>
      </c>
      <c r="B115" s="3" t="n"/>
      <c r="C115" s="3" t="inlineStr">
        <is>
          <t>https://youtu.be/XSGCB8WAERA?si=Abr2E6tDh9zq4DkY</t>
        </is>
      </c>
      <c r="D115" s="3" t="n"/>
      <c r="E115" s="3" t="n"/>
      <c r="F115" s="3" t="n"/>
      <c r="G115" s="3" t="n"/>
      <c r="H115" s="3" t="n"/>
      <c r="I115" s="3" t="n"/>
      <c r="J115" s="3" t="n"/>
      <c r="K115" s="2" t="inlineStr">
        <is>
          <t>Y</t>
        </is>
      </c>
      <c r="L115" s="2" t="inlineStr">
        <is>
          <t>done</t>
        </is>
      </c>
      <c r="M115" s="3" t="inlineStr">
        <is>
          <t>transcripts\honda_goldwing_tour_dct_airbag.txt</t>
        </is>
      </c>
      <c r="N115" s="3" t="n"/>
      <c r="O115" s="3" t="n"/>
      <c r="P115" s="3" t="n"/>
      <c r="Q115" s="3" t="n"/>
      <c r="R115" s="3" t="n"/>
    </row>
    <row r="116">
      <c r="A116" s="2" t="inlineStr">
        <is>
          <t>husqvarna_vitpilen_250_standard</t>
        </is>
      </c>
      <c r="B116" s="3" t="n"/>
      <c r="C116" s="9" t="inlineStr">
        <is>
          <t>https://youtu.be/5GJUQS5USLA?si=tkRJMg6bNrwa70OQ</t>
        </is>
      </c>
      <c r="D116" s="3" t="n"/>
      <c r="E116" s="3" t="n"/>
      <c r="F116" s="3" t="n"/>
      <c r="G116" s="3" t="n"/>
      <c r="H116" s="3" t="n"/>
      <c r="I116" s="3" t="n"/>
      <c r="J116" s="3" t="n"/>
      <c r="K116" s="2" t="inlineStr">
        <is>
          <t>Y</t>
        </is>
      </c>
      <c r="L116" s="2" t="inlineStr">
        <is>
          <t>done</t>
        </is>
      </c>
      <c r="M116" s="3" t="inlineStr">
        <is>
          <t>transcripts\husqvarna_vitpilen_250_standard.txt</t>
        </is>
      </c>
      <c r="N116" s="3" t="n"/>
      <c r="O116" s="3" t="n"/>
      <c r="P116" s="3" t="n"/>
      <c r="Q116" s="3" t="n"/>
      <c r="R116" s="3" t="n"/>
    </row>
    <row r="117">
      <c r="A117" s="2" t="inlineStr">
        <is>
          <t>husqvarna_svartpilen_250_standard</t>
        </is>
      </c>
      <c r="B117" s="3" t="n"/>
      <c r="C117" s="9" t="inlineStr">
        <is>
          <t>https://youtu.be/2CFsEgNwa14?si=DixJx3X1uEIuhvvG</t>
        </is>
      </c>
      <c r="D117" s="3" t="n"/>
      <c r="E117" s="3" t="n"/>
      <c r="F117" s="3" t="n"/>
      <c r="G117" s="3" t="n"/>
      <c r="H117" s="3" t="n"/>
      <c r="I117" s="3" t="n"/>
      <c r="J117" s="3" t="n"/>
      <c r="K117" s="2" t="inlineStr">
        <is>
          <t>Y</t>
        </is>
      </c>
      <c r="L117" s="2" t="inlineStr">
        <is>
          <t>done</t>
        </is>
      </c>
      <c r="M117" s="3" t="inlineStr">
        <is>
          <t>transcripts\husqvarna_svartpilen_250_standard.txt</t>
        </is>
      </c>
      <c r="N117" s="3" t="n"/>
      <c r="O117" s="3" t="n"/>
      <c r="P117" s="3" t="n"/>
      <c r="Q117" s="3" t="n"/>
      <c r="R117" s="3" t="n"/>
    </row>
    <row r="118">
      <c r="A118" s="2" t="inlineStr">
        <is>
          <t>husqvarna_svartpilen_401_standard</t>
        </is>
      </c>
      <c r="B118" s="3" t="n"/>
      <c r="C118" s="9" t="inlineStr">
        <is>
          <t>https://youtu.be/mcz-A1SjGBg?si=iRHD8yEpdGZ6ew4V</t>
        </is>
      </c>
      <c r="D118" s="3" t="n"/>
      <c r="E118" s="3" t="n"/>
      <c r="F118" s="3" t="n"/>
      <c r="G118" s="3" t="n"/>
      <c r="H118" s="3" t="n"/>
      <c r="I118" s="3" t="n"/>
      <c r="J118" s="3" t="n"/>
      <c r="K118" s="2" t="inlineStr">
        <is>
          <t>Y</t>
        </is>
      </c>
      <c r="L118" s="2" t="inlineStr">
        <is>
          <t>done</t>
        </is>
      </c>
      <c r="M118" s="3" t="inlineStr">
        <is>
          <t>transcripts\husqvarna_svartpilen_401_standard.txt</t>
        </is>
      </c>
      <c r="N118" s="3" t="n"/>
      <c r="O118" s="3" t="n"/>
      <c r="P118" s="3" t="n"/>
      <c r="Q118" s="3" t="n"/>
      <c r="R118" s="3" t="n"/>
    </row>
    <row r="119">
      <c r="A119" s="2" t="inlineStr">
        <is>
          <t>indian_motorcycle_scout_scout_sixty_bobber</t>
        </is>
      </c>
      <c r="B119" s="3" t="n"/>
      <c r="C119" s="9" t="inlineStr">
        <is>
          <t>https://youtu.be/AEdVPRc4xOc?si=CMxdLmxtC6txGq0_</t>
        </is>
      </c>
      <c r="D119" s="3" t="n"/>
      <c r="E119" s="3" t="n"/>
      <c r="F119" s="3" t="n"/>
      <c r="G119" s="3" t="n"/>
      <c r="H119" s="3" t="n"/>
      <c r="I119" s="3" t="n"/>
      <c r="J119" s="3" t="n"/>
      <c r="K119" s="2" t="inlineStr">
        <is>
          <t>Y</t>
        </is>
      </c>
      <c r="L119" s="2" t="inlineStr">
        <is>
          <t>done</t>
        </is>
      </c>
      <c r="M119" s="3" t="inlineStr">
        <is>
          <t>transcripts\indian_motorcycle_scout_scout_sixty_bobber.txt</t>
        </is>
      </c>
      <c r="N119" s="3" t="n"/>
      <c r="O119" s="3" t="n"/>
      <c r="P119" s="3" t="n"/>
      <c r="Q119" s="3" t="n"/>
      <c r="R119" s="3" t="n"/>
    </row>
    <row r="120">
      <c r="A120" s="2" t="inlineStr">
        <is>
          <t>indian_motorcycle_chief_chief_dark_horse</t>
        </is>
      </c>
      <c r="B120" s="3" t="n"/>
      <c r="C120" s="9" t="inlineStr">
        <is>
          <t>https://youtu.be/77juVLIKjWY?si=xkhK56jKFeiiCI0j</t>
        </is>
      </c>
      <c r="D120" s="3" t="n"/>
      <c r="E120" s="3" t="n"/>
      <c r="F120" s="3" t="n"/>
      <c r="G120" s="3" t="n"/>
      <c r="H120" s="3" t="n"/>
      <c r="I120" s="3" t="n"/>
      <c r="J120" s="3" t="n"/>
      <c r="K120" s="2" t="inlineStr">
        <is>
          <t>Y</t>
        </is>
      </c>
      <c r="L120" s="2" t="inlineStr">
        <is>
          <t>done</t>
        </is>
      </c>
      <c r="M120" s="3" t="inlineStr">
        <is>
          <t>transcripts\indian_motorcycle_chief_chief_dark_horse.txt</t>
        </is>
      </c>
      <c r="N120" s="3" t="n"/>
      <c r="O120" s="3" t="n"/>
      <c r="P120" s="3" t="n"/>
      <c r="Q120" s="3" t="n"/>
      <c r="R120" s="3" t="n"/>
    </row>
    <row r="121">
      <c r="A121" s="2" t="inlineStr">
        <is>
          <t>indian_motorcycle_springfield_standard</t>
        </is>
      </c>
      <c r="B121" s="3" t="n"/>
      <c r="C121" s="3" t="inlineStr">
        <is>
          <t>https://youtu.be/qcmvLYhvK9Q?si=rUEALoPQL85XNw2n</t>
        </is>
      </c>
      <c r="D121" s="3" t="n"/>
      <c r="E121" s="3" t="n"/>
      <c r="F121" s="3" t="n"/>
      <c r="G121" s="3" t="n"/>
      <c r="H121" s="3" t="n"/>
      <c r="I121" s="3" t="n"/>
      <c r="J121" s="3" t="n"/>
      <c r="K121" s="2" t="inlineStr">
        <is>
          <t>Y</t>
        </is>
      </c>
      <c r="L121" s="2" t="inlineStr">
        <is>
          <t>done</t>
        </is>
      </c>
      <c r="M121" s="3" t="inlineStr">
        <is>
          <t>transcripts\indian_motorcycle_springfield_standard.txt</t>
        </is>
      </c>
      <c r="N121" s="3" t="n"/>
      <c r="O121" s="3" t="n"/>
      <c r="P121" s="3" t="n"/>
      <c r="Q121" s="3" t="n"/>
      <c r="R121" s="3" t="n"/>
    </row>
    <row r="122">
      <c r="A122" s="2" t="inlineStr">
        <is>
          <t>indian_motorcycle_chieftain_dark_horse</t>
        </is>
      </c>
      <c r="B122" s="3" t="n"/>
      <c r="C122" s="9" t="inlineStr">
        <is>
          <t>https://youtu.be/IGNCvN6LmCs?si=CsgpWjD68vNGmlqb</t>
        </is>
      </c>
      <c r="D122" s="3" t="n"/>
      <c r="E122" s="3" t="n"/>
      <c r="F122" s="3" t="n"/>
      <c r="G122" s="3" t="n"/>
      <c r="H122" s="3" t="n"/>
      <c r="I122" s="3" t="n"/>
      <c r="J122" s="3" t="n"/>
      <c r="K122" s="2" t="inlineStr">
        <is>
          <t>Y</t>
        </is>
      </c>
      <c r="L122" s="2" t="inlineStr">
        <is>
          <t>done</t>
        </is>
      </c>
      <c r="M122" s="3" t="inlineStr">
        <is>
          <t>transcripts\indian_motorcycle_chieftain_dark_horse.txt</t>
        </is>
      </c>
      <c r="N122" s="3" t="n"/>
      <c r="O122" s="3" t="n"/>
      <c r="P122" s="3" t="n"/>
      <c r="Q122" s="3" t="n"/>
      <c r="R122" s="3" t="n"/>
    </row>
    <row r="123">
      <c r="A123" s="2" t="inlineStr">
        <is>
          <t>indian_motorcycle_challenger_standard</t>
        </is>
      </c>
      <c r="B123" s="3" t="n"/>
      <c r="C123" s="9" t="inlineStr">
        <is>
          <t>https://youtu.be/jcIVjAtMDJU?si=RiYbsa4wrom_k1JM</t>
        </is>
      </c>
      <c r="D123" s="3" t="n"/>
      <c r="E123" s="3" t="n"/>
      <c r="F123" s="3" t="n"/>
      <c r="G123" s="3" t="n"/>
      <c r="H123" s="3" t="n"/>
      <c r="I123" s="3" t="n"/>
      <c r="J123" s="3" t="n"/>
      <c r="K123" s="2" t="inlineStr">
        <is>
          <t>Y</t>
        </is>
      </c>
      <c r="L123" s="2" t="inlineStr">
        <is>
          <t>done</t>
        </is>
      </c>
      <c r="M123" s="3" t="inlineStr">
        <is>
          <t>transcripts\indian_motorcycle_challenger_standard.txt</t>
        </is>
      </c>
      <c r="N123" s="3" t="n"/>
      <c r="O123" s="3" t="n"/>
      <c r="P123" s="3" t="n"/>
      <c r="Q123" s="3" t="n"/>
      <c r="R123" s="3" t="n"/>
    </row>
    <row r="124">
      <c r="A124" s="2" t="inlineStr">
        <is>
          <t>indian_motorcycle_pursuit_limited</t>
        </is>
      </c>
      <c r="B124" s="3" t="n"/>
      <c r="C124" s="3" t="inlineStr">
        <is>
          <t>https://youtu.be/dNSCSg_tQFQ?si=bpZetzsuRxJt6YQq</t>
        </is>
      </c>
      <c r="D124" s="3" t="n"/>
      <c r="E124" s="3" t="n"/>
      <c r="F124" s="3" t="n"/>
      <c r="G124" s="3" t="n"/>
      <c r="H124" s="3" t="n"/>
      <c r="I124" s="3" t="n"/>
      <c r="J124" s="3" t="n"/>
      <c r="K124" s="2" t="inlineStr">
        <is>
          <t>Y</t>
        </is>
      </c>
      <c r="L124" s="2" t="inlineStr">
        <is>
          <t>done</t>
        </is>
      </c>
      <c r="M124" s="3" t="inlineStr">
        <is>
          <t>transcripts\indian_motorcycle_pursuit_limited.txt</t>
        </is>
      </c>
      <c r="N124" s="3" t="n"/>
      <c r="O124" s="3" t="n"/>
      <c r="P124" s="3" t="n"/>
      <c r="Q124" s="3" t="n"/>
      <c r="R124" s="3" t="n"/>
    </row>
    <row r="125">
      <c r="A125" s="2" t="inlineStr">
        <is>
          <t>jawa_jawa_350_standard</t>
        </is>
      </c>
      <c r="B125" s="3" t="n"/>
      <c r="C125" s="3" t="inlineStr">
        <is>
          <t>https://youtu.be/QFHavu_xWY0?si=gJy0rZeSOJ75tGdd</t>
        </is>
      </c>
      <c r="D125" s="3" t="n"/>
      <c r="E125" s="3" t="n"/>
      <c r="F125" s="3" t="n"/>
      <c r="G125" s="3" t="n"/>
      <c r="H125" s="3" t="n"/>
      <c r="I125" s="3" t="n"/>
      <c r="J125" s="3" t="n"/>
      <c r="K125" s="2" t="inlineStr">
        <is>
          <t>Y</t>
        </is>
      </c>
      <c r="L125" s="2" t="inlineStr">
        <is>
          <t>done</t>
        </is>
      </c>
      <c r="M125" s="3" t="inlineStr">
        <is>
          <t>transcripts\jawa_jawa_350_standard.txt</t>
        </is>
      </c>
      <c r="N125" s="3" t="n"/>
      <c r="O125" s="3" t="n"/>
      <c r="P125" s="3" t="n"/>
      <c r="Q125" s="3" t="n"/>
      <c r="R125" s="3" t="n"/>
    </row>
    <row r="126">
      <c r="A126" s="2" t="inlineStr">
        <is>
          <t>jawa_jawa_42_single_tone</t>
        </is>
      </c>
      <c r="B126" s="3" t="n"/>
      <c r="C126" s="3" t="inlineStr">
        <is>
          <t>https://youtu.be/LKbaIGzK9t4?si=HoKAA3Yw8Phb-IHs</t>
        </is>
      </c>
      <c r="D126" s="3" t="n"/>
      <c r="E126" s="3" t="n"/>
      <c r="F126" s="3" t="n"/>
      <c r="G126" s="3" t="n"/>
      <c r="H126" s="3" t="n"/>
      <c r="I126" s="3" t="n"/>
      <c r="J126" s="3" t="n"/>
      <c r="K126" s="2" t="inlineStr">
        <is>
          <t>Y</t>
        </is>
      </c>
      <c r="L126" s="2" t="inlineStr">
        <is>
          <t>done</t>
        </is>
      </c>
      <c r="M126" s="3" t="inlineStr">
        <is>
          <t>transcripts\jawa_jawa_42_single_tone.txt</t>
        </is>
      </c>
      <c r="N126" s="3" t="n"/>
      <c r="O126" s="3" t="n"/>
      <c r="P126" s="3" t="n"/>
      <c r="Q126" s="3" t="n"/>
      <c r="R126" s="3" t="n"/>
    </row>
    <row r="127">
      <c r="A127" s="2" t="inlineStr">
        <is>
          <t>jawa_jawa_42_fj_aurora_green_matte</t>
        </is>
      </c>
      <c r="B127" s="3" t="n"/>
      <c r="C127" s="3" t="inlineStr">
        <is>
          <t>https://youtu.be/unZGThdm5Ds?si=wUsqOwFezGWR2Rxs</t>
        </is>
      </c>
      <c r="D127" s="3" t="n"/>
      <c r="E127" s="3" t="n"/>
      <c r="F127" s="3" t="n"/>
      <c r="G127" s="3" t="n"/>
      <c r="H127" s="3" t="n"/>
      <c r="I127" s="3" t="n"/>
      <c r="J127" s="3" t="n"/>
      <c r="K127" s="2" t="inlineStr">
        <is>
          <t>Y</t>
        </is>
      </c>
      <c r="L127" s="2" t="inlineStr">
        <is>
          <t>done</t>
        </is>
      </c>
      <c r="M127" s="3" t="inlineStr">
        <is>
          <t>transcripts\jawa_jawa_42_fj_aurora_green_matte.txt</t>
        </is>
      </c>
      <c r="N127" s="3" t="n"/>
      <c r="O127" s="3" t="n"/>
      <c r="P127" s="3" t="n"/>
      <c r="Q127" s="3" t="n"/>
      <c r="R127" s="3" t="n"/>
    </row>
    <row r="128">
      <c r="A128" s="2" t="inlineStr">
        <is>
          <t>jawa_jawa_perak_standard</t>
        </is>
      </c>
      <c r="B128" s="3" t="n"/>
      <c r="C128" s="3" t="inlineStr">
        <is>
          <t>https://youtu.be/G9hLxvGKaJQ?si=-39DAQ_XNd6WKp5U</t>
        </is>
      </c>
      <c r="D128" s="3" t="n"/>
      <c r="E128" s="3" t="n"/>
      <c r="F128" s="3" t="n"/>
      <c r="G128" s="3" t="n"/>
      <c r="H128" s="3" t="n"/>
      <c r="I128" s="3" t="n"/>
      <c r="J128" s="3" t="n"/>
      <c r="K128" s="2" t="inlineStr">
        <is>
          <t>Y</t>
        </is>
      </c>
      <c r="L128" s="2" t="inlineStr">
        <is>
          <t>done</t>
        </is>
      </c>
      <c r="M128" s="3" t="inlineStr">
        <is>
          <t>transcripts\jawa_jawa_perak_standard.txt</t>
        </is>
      </c>
      <c r="N128" s="3" t="n"/>
      <c r="O128" s="3" t="n"/>
      <c r="P128" s="3" t="n"/>
      <c r="Q128" s="3" t="n"/>
      <c r="R128" s="3" t="n"/>
    </row>
    <row r="129">
      <c r="A129" s="2" t="inlineStr">
        <is>
          <t>jawa_jawa_42_bobber_moonstone_white</t>
        </is>
      </c>
      <c r="B129" s="3" t="n"/>
      <c r="C129" s="3" t="inlineStr">
        <is>
          <t>https://youtu.be/-j4PbyZch3E?si=Aod1SR5WbZDCRJfO</t>
        </is>
      </c>
      <c r="D129" s="3" t="n"/>
      <c r="E129" s="3" t="n"/>
      <c r="F129" s="3" t="n"/>
      <c r="G129" s="3" t="n"/>
      <c r="H129" s="3" t="n"/>
      <c r="I129" s="3" t="n"/>
      <c r="J129" s="3" t="n"/>
      <c r="K129" s="2" t="inlineStr">
        <is>
          <t>Y</t>
        </is>
      </c>
      <c r="L129" s="2" t="inlineStr">
        <is>
          <t>done</t>
        </is>
      </c>
      <c r="M129" s="3" t="inlineStr">
        <is>
          <t>transcripts\jawa_jawa_42_bobber_moonstone_white.txt</t>
        </is>
      </c>
      <c r="N129" s="3" t="n"/>
      <c r="O129" s="3" t="n"/>
      <c r="P129" s="3" t="n"/>
      <c r="Q129" s="3" t="n"/>
      <c r="R129" s="3" t="n"/>
    </row>
    <row r="130">
      <c r="A130" s="2" t="inlineStr">
        <is>
          <t>kawasaki_w175_standard</t>
        </is>
      </c>
      <c r="B130" s="3" t="n"/>
      <c r="C130" s="3" t="inlineStr">
        <is>
          <t>https://youtu.be/UwlR8M5vc0A?si=tU8bEOVna1YSWePy</t>
        </is>
      </c>
      <c r="D130" s="3" t="n"/>
      <c r="E130" s="3" t="n"/>
      <c r="F130" s="3" t="n"/>
      <c r="G130" s="3" t="n"/>
      <c r="H130" s="3" t="n"/>
      <c r="I130" s="3" t="n"/>
      <c r="J130" s="3" t="n"/>
      <c r="K130" s="2" t="inlineStr">
        <is>
          <t>Y</t>
        </is>
      </c>
      <c r="L130" s="2" t="inlineStr">
        <is>
          <t>done</t>
        </is>
      </c>
      <c r="M130" s="3" t="inlineStr">
        <is>
          <t>transcripts\kawasaki_w175_standard.txt</t>
        </is>
      </c>
      <c r="N130" s="3" t="n"/>
      <c r="O130" s="3" t="n"/>
      <c r="P130" s="3" t="n"/>
      <c r="Q130" s="3" t="n"/>
      <c r="R130" s="3" t="n"/>
    </row>
    <row r="131">
      <c r="A131" s="2" t="inlineStr">
        <is>
          <t>kawasaki_ninja_300_standard</t>
        </is>
      </c>
      <c r="B131" s="3" t="n"/>
      <c r="C131" s="3" t="inlineStr">
        <is>
          <t>https://youtu.be/-XkSwYgHnBU?si=uH3ILwi2HRfOuXLi</t>
        </is>
      </c>
      <c r="D131" s="3" t="n"/>
      <c r="E131" s="3" t="n"/>
      <c r="F131" s="3" t="n"/>
      <c r="G131" s="3" t="n"/>
      <c r="H131" s="3" t="n"/>
      <c r="I131" s="3" t="n"/>
      <c r="J131" s="3" t="n"/>
      <c r="K131" s="2" t="inlineStr">
        <is>
          <t>Y</t>
        </is>
      </c>
      <c r="L131" s="2" t="inlineStr">
        <is>
          <t>done</t>
        </is>
      </c>
      <c r="M131" s="3" t="inlineStr">
        <is>
          <t>transcripts\kawasaki_ninja_300_standard.txt</t>
        </is>
      </c>
      <c r="N131" s="3" t="n"/>
      <c r="O131" s="3" t="n"/>
      <c r="P131" s="3" t="n"/>
      <c r="Q131" s="3" t="n"/>
      <c r="R131" s="3" t="n"/>
    </row>
    <row r="132">
      <c r="A132" s="2" t="inlineStr">
        <is>
          <t>kawasaki_ninja_500_standard</t>
        </is>
      </c>
      <c r="B132" s="3" t="n"/>
      <c r="C132" s="3" t="inlineStr">
        <is>
          <t>https://youtu.be/WbVuidZopAA?si=HFatgIVmkTPS8rzH</t>
        </is>
      </c>
      <c r="D132" s="3" t="n"/>
      <c r="E132" s="3" t="n"/>
      <c r="F132" s="3" t="n"/>
      <c r="G132" s="3" t="n"/>
      <c r="H132" s="3" t="n"/>
      <c r="I132" s="3" t="n"/>
      <c r="J132" s="3" t="n"/>
      <c r="K132" s="2" t="inlineStr">
        <is>
          <t>Y</t>
        </is>
      </c>
      <c r="L132" s="2" t="inlineStr">
        <is>
          <t>done</t>
        </is>
      </c>
      <c r="M132" s="3" t="inlineStr">
        <is>
          <t>transcripts\kawasaki_ninja_500_standard.txt</t>
        </is>
      </c>
      <c r="N132" s="3" t="n"/>
      <c r="O132" s="3" t="n"/>
      <c r="P132" s="3" t="n"/>
      <c r="Q132" s="3" t="n"/>
      <c r="R132" s="3" t="n"/>
    </row>
    <row r="133">
      <c r="A133" s="2" t="inlineStr">
        <is>
          <t>kawasaki_ninja_650_standard</t>
        </is>
      </c>
      <c r="B133" s="3" t="n"/>
      <c r="C133" s="3" t="inlineStr">
        <is>
          <t>https://youtu.be/Cy7Rw5nZjXM?si=KeANf9r-3Kyumii5</t>
        </is>
      </c>
      <c r="D133" s="3" t="n"/>
      <c r="E133" s="3" t="n"/>
      <c r="F133" s="3" t="n"/>
      <c r="G133" s="3" t="n"/>
      <c r="H133" s="3" t="n"/>
      <c r="I133" s="3" t="n"/>
      <c r="J133" s="3" t="n"/>
      <c r="K133" s="2" t="inlineStr">
        <is>
          <t>Y</t>
        </is>
      </c>
      <c r="L133" s="2" t="inlineStr">
        <is>
          <t>done</t>
        </is>
      </c>
      <c r="M133" s="3" t="inlineStr">
        <is>
          <t>transcripts\kawasaki_ninja_650_standard.txt</t>
        </is>
      </c>
      <c r="N133" s="3" t="n"/>
      <c r="O133" s="3" t="n"/>
      <c r="P133" s="3" t="n"/>
      <c r="Q133" s="3" t="n"/>
      <c r="R133" s="3" t="n"/>
    </row>
    <row r="134">
      <c r="A134" s="2" t="inlineStr">
        <is>
          <t>kawasaki_ninja_zx_4r_standard</t>
        </is>
      </c>
      <c r="B134" s="3" t="n"/>
      <c r="C134" s="3" t="inlineStr">
        <is>
          <t>https://youtu.be/NmqvWg5t1u4?si=YMhoPIIrB0NGsPKv</t>
        </is>
      </c>
      <c r="D134" s="3" t="n"/>
      <c r="E134" s="3" t="n"/>
      <c r="F134" s="3" t="n"/>
      <c r="G134" s="3" t="n"/>
      <c r="H134" s="3" t="n"/>
      <c r="I134" s="3" t="n"/>
      <c r="J134" s="3" t="n"/>
      <c r="K134" s="2" t="inlineStr">
        <is>
          <t>Y</t>
        </is>
      </c>
      <c r="L134" s="2" t="inlineStr">
        <is>
          <t>done</t>
        </is>
      </c>
      <c r="M134" s="3" t="inlineStr">
        <is>
          <t>transcripts\kawasaki_ninja_zx_4r_standard.txt</t>
        </is>
      </c>
      <c r="N134" s="3" t="n"/>
      <c r="O134" s="3" t="n"/>
      <c r="P134" s="3" t="n"/>
      <c r="Q134" s="3" t="n"/>
      <c r="R134" s="3" t="n"/>
    </row>
    <row r="135">
      <c r="A135" s="2" t="inlineStr">
        <is>
          <t>kawasaki_ninja_zx_4rr_standard</t>
        </is>
      </c>
      <c r="B135" s="3" t="n"/>
      <c r="C135" s="3" t="inlineStr">
        <is>
          <t>https://youtu.be/4n4xSs_KLGU?si=UWuyni3JZ1RIiXq1</t>
        </is>
      </c>
      <c r="D135" s="3" t="n"/>
      <c r="E135" s="3" t="n"/>
      <c r="F135" s="3" t="n"/>
      <c r="G135" s="3" t="n"/>
      <c r="H135" s="3" t="n"/>
      <c r="I135" s="3" t="n"/>
      <c r="J135" s="3" t="n"/>
      <c r="K135" s="2" t="inlineStr">
        <is>
          <t>Y</t>
        </is>
      </c>
      <c r="L135" s="2" t="inlineStr">
        <is>
          <t>done</t>
        </is>
      </c>
      <c r="M135" s="3" t="inlineStr">
        <is>
          <t>transcripts\kawasaki_ninja_zx_4rr_standard.txt</t>
        </is>
      </c>
      <c r="N135" s="3" t="n"/>
      <c r="O135" s="3" t="n"/>
      <c r="P135" s="3" t="n"/>
      <c r="Q135" s="3" t="n"/>
      <c r="R135" s="3" t="n"/>
    </row>
    <row r="136">
      <c r="A136" s="2" t="inlineStr">
        <is>
          <t>kawasaki_ninja_zx_6r_standard</t>
        </is>
      </c>
      <c r="B136" s="3" t="n"/>
      <c r="C136" s="3" t="inlineStr">
        <is>
          <t>https://youtu.be/GQD8DZ-nnfI?si=u93vkl7UklsNZVRz</t>
        </is>
      </c>
      <c r="D136" s="3" t="n"/>
      <c r="E136" s="3" t="n"/>
      <c r="F136" s="3" t="n"/>
      <c r="G136" s="3" t="n"/>
      <c r="H136" s="3" t="n"/>
      <c r="I136" s="3" t="n"/>
      <c r="J136" s="3" t="n"/>
      <c r="K136" s="2" t="inlineStr">
        <is>
          <t>Y</t>
        </is>
      </c>
      <c r="L136" s="2" t="inlineStr">
        <is>
          <t>done</t>
        </is>
      </c>
      <c r="M136" s="3" t="inlineStr">
        <is>
          <t>transcripts\kawasaki_ninja_zx_6r_standard.txt</t>
        </is>
      </c>
      <c r="N136" s="3" t="n"/>
      <c r="O136" s="3" t="n"/>
      <c r="P136" s="3" t="n"/>
      <c r="Q136" s="3" t="n"/>
      <c r="R136" s="3" t="n"/>
    </row>
    <row r="137">
      <c r="A137" s="2" t="inlineStr">
        <is>
          <t>kawasaki_ninja_zx_10r_standard</t>
        </is>
      </c>
      <c r="B137" s="3" t="n"/>
      <c r="C137" s="3" t="inlineStr">
        <is>
          <t>https://youtu.be/fdHPUd073Dk?si=fN2bao8QznCBqPEP</t>
        </is>
      </c>
      <c r="D137" s="3" t="n"/>
      <c r="E137" s="3" t="n"/>
      <c r="F137" s="3" t="n"/>
      <c r="G137" s="3" t="n"/>
      <c r="H137" s="3" t="n"/>
      <c r="I137" s="3" t="n"/>
      <c r="J137" s="3" t="n"/>
      <c r="K137" s="2" t="inlineStr">
        <is>
          <t>Y</t>
        </is>
      </c>
      <c r="L137" s="2" t="inlineStr">
        <is>
          <t>done</t>
        </is>
      </c>
      <c r="M137" s="3" t="inlineStr">
        <is>
          <t>transcripts\kawasaki_ninja_zx_10r_standard.txt</t>
        </is>
      </c>
      <c r="N137" s="3" t="n"/>
      <c r="O137" s="3" t="n"/>
      <c r="P137" s="3" t="n"/>
      <c r="Q137" s="3" t="n"/>
      <c r="R137" s="3" t="n"/>
    </row>
    <row r="138">
      <c r="A138" s="2" t="inlineStr">
        <is>
          <t>kawasaki_ninja_h2_sx_standard</t>
        </is>
      </c>
      <c r="B138" s="3" t="n"/>
      <c r="C138" s="3" t="inlineStr">
        <is>
          <t>https://youtu.be/DkPMj9iSB2Q?si=l6fzXDJAZTVG3_lf</t>
        </is>
      </c>
      <c r="D138" s="3" t="n"/>
      <c r="E138" s="3" t="n"/>
      <c r="F138" s="3" t="n"/>
      <c r="G138" s="3" t="n"/>
      <c r="H138" s="3" t="n"/>
      <c r="I138" s="3" t="n"/>
      <c r="J138" s="3" t="n"/>
      <c r="K138" s="2" t="inlineStr">
        <is>
          <t>Y</t>
        </is>
      </c>
      <c r="L138" s="2" t="inlineStr">
        <is>
          <t>done</t>
        </is>
      </c>
      <c r="M138" s="3" t="inlineStr">
        <is>
          <t>transcripts\kawasaki_ninja_h2_sx_standard.txt</t>
        </is>
      </c>
      <c r="N138" s="3" t="n"/>
      <c r="O138" s="3" t="n"/>
      <c r="P138" s="3" t="n"/>
      <c r="Q138" s="3" t="n"/>
      <c r="R138" s="3" t="n"/>
    </row>
    <row r="139">
      <c r="A139" s="2" t="inlineStr">
        <is>
          <t>kawasaki_z500_standard</t>
        </is>
      </c>
      <c r="B139" s="3" t="n"/>
      <c r="C139" s="9" t="inlineStr">
        <is>
          <t>https://youtu.be/UoUfpzlJP5M?si=NhXRUcCUDpxQ_K0B</t>
        </is>
      </c>
      <c r="D139" s="3" t="n"/>
      <c r="E139" s="3" t="n"/>
      <c r="F139" s="3" t="n"/>
      <c r="G139" s="3" t="n"/>
      <c r="H139" s="3" t="n"/>
      <c r="I139" s="3" t="n"/>
      <c r="J139" s="3" t="n"/>
      <c r="K139" s="2" t="inlineStr">
        <is>
          <t>Y</t>
        </is>
      </c>
      <c r="L139" s="2" t="inlineStr">
        <is>
          <t>done</t>
        </is>
      </c>
      <c r="M139" s="3" t="inlineStr">
        <is>
          <t>transcripts\kawasaki_z500_standard.txt</t>
        </is>
      </c>
      <c r="N139" s="3" t="n"/>
      <c r="O139" s="3" t="n"/>
      <c r="P139" s="3" t="n"/>
      <c r="Q139" s="3" t="n"/>
      <c r="R139" s="3" t="n"/>
    </row>
    <row r="140">
      <c r="A140" s="2" t="inlineStr">
        <is>
          <t>kawasaki_z650_standard</t>
        </is>
      </c>
      <c r="B140" s="3" t="n"/>
      <c r="C140" s="9" t="inlineStr">
        <is>
          <t>https://youtu.be/Ahu4Pv2nOho?si=6BVEoDkQ38RjTZLl</t>
        </is>
      </c>
      <c r="D140" s="3" t="n"/>
      <c r="E140" s="3" t="n"/>
      <c r="F140" s="3" t="n"/>
      <c r="G140" s="3" t="n"/>
      <c r="H140" s="3" t="n"/>
      <c r="I140" s="3" t="n"/>
      <c r="J140" s="3" t="n"/>
      <c r="K140" s="2" t="inlineStr">
        <is>
          <t>Y</t>
        </is>
      </c>
      <c r="L140" s="2" t="inlineStr">
        <is>
          <t>done</t>
        </is>
      </c>
      <c r="M140" s="3" t="inlineStr">
        <is>
          <t>transcripts\kawasaki_z650_standard.txt</t>
        </is>
      </c>
      <c r="N140" s="3" t="n"/>
      <c r="O140" s="3" t="n"/>
      <c r="P140" s="3" t="n"/>
      <c r="Q140" s="3" t="n"/>
      <c r="R140" s="3" t="n"/>
    </row>
    <row r="141">
      <c r="A141" s="2" t="inlineStr">
        <is>
          <t>kawasaki_z900_standard</t>
        </is>
      </c>
      <c r="B141" s="3" t="n"/>
      <c r="C141" s="3" t="inlineStr">
        <is>
          <t>https://youtu.be/CcZZDpd1Bpw?si=ugjbbHm0ICMHo8Y6</t>
        </is>
      </c>
      <c r="D141" s="3" t="n"/>
      <c r="E141" s="3" t="n"/>
      <c r="F141" s="3" t="n"/>
      <c r="G141" s="3" t="n"/>
      <c r="H141" s="3" t="n"/>
      <c r="I141" s="3" t="n"/>
      <c r="J141" s="3" t="n"/>
      <c r="K141" s="2" t="inlineStr">
        <is>
          <t>Y</t>
        </is>
      </c>
      <c r="L141" s="2" t="inlineStr">
        <is>
          <t>done</t>
        </is>
      </c>
      <c r="M141" s="3" t="inlineStr">
        <is>
          <t>transcripts\kawasaki_z900_standard.txt</t>
        </is>
      </c>
      <c r="N141" s="3" t="n"/>
      <c r="O141" s="3" t="n"/>
      <c r="P141" s="3" t="n"/>
      <c r="Q141" s="3" t="n"/>
      <c r="R141" s="3" t="n"/>
    </row>
    <row r="142">
      <c r="A142" s="2" t="inlineStr">
        <is>
          <t>kawasaki_versys_650_standard</t>
        </is>
      </c>
      <c r="B142" s="3" t="n"/>
      <c r="C142" s="3" t="inlineStr">
        <is>
          <t>https://youtu.be/kuGI2gJk5NM?si=SYoRvZA0bHZ__HQy</t>
        </is>
      </c>
      <c r="D142" s="3" t="n"/>
      <c r="E142" s="3" t="n"/>
      <c r="F142" s="3" t="n"/>
      <c r="G142" s="3" t="n"/>
      <c r="H142" s="3" t="n"/>
      <c r="I142" s="3" t="n"/>
      <c r="J142" s="3" t="n"/>
      <c r="K142" s="2" t="inlineStr">
        <is>
          <t>Y</t>
        </is>
      </c>
      <c r="L142" s="2" t="inlineStr">
        <is>
          <t>done</t>
        </is>
      </c>
      <c r="M142" s="3" t="inlineStr">
        <is>
          <t>transcripts\kawasaki_versys_650_standard.txt</t>
        </is>
      </c>
      <c r="N142" s="3" t="n"/>
      <c r="O142" s="3" t="n"/>
      <c r="P142" s="3" t="n"/>
      <c r="Q142" s="3" t="n"/>
      <c r="R142" s="3" t="n"/>
    </row>
    <row r="143">
      <c r="A143" s="2" t="inlineStr">
        <is>
          <t>kawasaki_versys_1000_standard</t>
        </is>
      </c>
      <c r="B143" s="3" t="n"/>
      <c r="C143" s="3" t="inlineStr">
        <is>
          <t>https://youtu.be/3_YSNhdvHwY?si=y9rDX943jmX7QyhU</t>
        </is>
      </c>
      <c r="D143" s="3" t="n"/>
      <c r="E143" s="3" t="n"/>
      <c r="F143" s="3" t="n"/>
      <c r="G143" s="3" t="n"/>
      <c r="H143" s="3" t="n"/>
      <c r="I143" s="3" t="n"/>
      <c r="J143" s="3" t="n"/>
      <c r="K143" s="2" t="inlineStr">
        <is>
          <t>Y</t>
        </is>
      </c>
      <c r="L143" s="2" t="inlineStr">
        <is>
          <t>done</t>
        </is>
      </c>
      <c r="M143" s="3" t="inlineStr">
        <is>
          <t>transcripts\kawasaki_versys_1000_standard.txt</t>
        </is>
      </c>
      <c r="N143" s="3" t="n"/>
      <c r="O143" s="3" t="n"/>
      <c r="P143" s="3" t="n"/>
      <c r="Q143" s="3" t="n"/>
      <c r="R143" s="3" t="n"/>
    </row>
    <row r="144">
      <c r="A144" s="2" t="inlineStr">
        <is>
          <t>kawasaki_eliminator_500_standard</t>
        </is>
      </c>
      <c r="B144" s="3" t="n"/>
      <c r="C144" s="3" t="inlineStr">
        <is>
          <t>https://youtu.be/hxMRKOaZ5aM?si=bFqJM9tDVLuQ22od</t>
        </is>
      </c>
      <c r="D144" s="3" t="n"/>
      <c r="E144" s="3" t="n"/>
      <c r="F144" s="3" t="n"/>
      <c r="G144" s="3" t="n"/>
      <c r="H144" s="3" t="n"/>
      <c r="I144" s="3" t="n"/>
      <c r="J144" s="3" t="n"/>
      <c r="K144" s="2" t="inlineStr">
        <is>
          <t>Y</t>
        </is>
      </c>
      <c r="L144" s="2" t="inlineStr">
        <is>
          <t>done</t>
        </is>
      </c>
      <c r="M144" s="3" t="inlineStr">
        <is>
          <t>transcripts\kawasaki_eliminator_500_standard.txt</t>
        </is>
      </c>
      <c r="N144" s="3" t="n"/>
      <c r="O144" s="3" t="n"/>
      <c r="P144" s="3" t="n"/>
      <c r="Q144" s="3" t="n"/>
      <c r="R144" s="3" t="n"/>
    </row>
    <row r="145">
      <c r="A145" s="2" t="inlineStr">
        <is>
          <t>ktm_duke_125_standard</t>
        </is>
      </c>
      <c r="B145" s="3" t="n"/>
      <c r="C145" s="3" t="inlineStr">
        <is>
          <t>https://youtu.be/fOKtYIofB8M?si=uiSa2JtKj4SM-o-G</t>
        </is>
      </c>
      <c r="D145" s="3" t="n"/>
      <c r="E145" s="3" t="n"/>
      <c r="F145" s="3" t="n"/>
      <c r="G145" s="3" t="n"/>
      <c r="H145" s="3" t="n"/>
      <c r="I145" s="3" t="n"/>
      <c r="J145" s="3" t="n"/>
      <c r="K145" s="2" t="inlineStr">
        <is>
          <t>Y</t>
        </is>
      </c>
      <c r="L145" s="2" t="inlineStr">
        <is>
          <t>done</t>
        </is>
      </c>
      <c r="M145" s="3" t="inlineStr">
        <is>
          <t>transcripts\ktm_duke_125_standard.txt</t>
        </is>
      </c>
      <c r="N145" s="3" t="n"/>
      <c r="O145" s="3" t="n"/>
      <c r="P145" s="3" t="n"/>
      <c r="Q145" s="3" t="n"/>
      <c r="R145" s="3" t="n"/>
    </row>
    <row r="146">
      <c r="A146" s="2" t="inlineStr">
        <is>
          <t>ktm_duke_200_standard</t>
        </is>
      </c>
      <c r="B146" s="3" t="n"/>
      <c r="C146" s="3" t="inlineStr">
        <is>
          <t>https://youtu.be/QfHcQXj2llg?si=13Z-34EZ82Q9bga_</t>
        </is>
      </c>
      <c r="D146" s="3" t="n"/>
      <c r="E146" s="3" t="n"/>
      <c r="F146" s="3" t="n"/>
      <c r="G146" s="3" t="n"/>
      <c r="H146" s="3" t="n"/>
      <c r="I146" s="3" t="n"/>
      <c r="J146" s="3" t="n"/>
      <c r="K146" s="2" t="inlineStr">
        <is>
          <t>Y</t>
        </is>
      </c>
      <c r="L146" s="2" t="inlineStr">
        <is>
          <t>done</t>
        </is>
      </c>
      <c r="M146" s="3" t="inlineStr">
        <is>
          <t>transcripts\ktm_duke_200_standard.txt</t>
        </is>
      </c>
      <c r="N146" s="3" t="n"/>
      <c r="O146" s="3" t="n"/>
      <c r="P146" s="3" t="n"/>
      <c r="Q146" s="3" t="n"/>
      <c r="R146" s="3" t="n"/>
    </row>
    <row r="147">
      <c r="A147" s="2" t="inlineStr">
        <is>
          <t>ktm_duke_250_standard</t>
        </is>
      </c>
      <c r="B147" s="3" t="n"/>
      <c r="C147" s="3" t="inlineStr">
        <is>
          <t>https://youtu.be/5_0Lv9mdFX0?si=IUEmZGdyZLEbe94-</t>
        </is>
      </c>
      <c r="D147" s="3" t="n"/>
      <c r="E147" s="3" t="n"/>
      <c r="F147" s="3" t="n"/>
      <c r="G147" s="3" t="n"/>
      <c r="H147" s="3" t="n"/>
      <c r="I147" s="3" t="n"/>
      <c r="J147" s="3" t="n"/>
      <c r="K147" s="2" t="inlineStr">
        <is>
          <t>Y</t>
        </is>
      </c>
      <c r="L147" s="2" t="inlineStr">
        <is>
          <t>done</t>
        </is>
      </c>
      <c r="M147" s="3" t="inlineStr">
        <is>
          <t>transcripts\ktm_duke_250_standard.txt</t>
        </is>
      </c>
      <c r="N147" s="3" t="n"/>
      <c r="O147" s="3" t="n"/>
      <c r="P147" s="3" t="n"/>
      <c r="Q147" s="3" t="n"/>
      <c r="R147" s="3" t="n"/>
    </row>
    <row r="148">
      <c r="A148" s="2" t="inlineStr">
        <is>
          <t>ktm_duke_390_standard</t>
        </is>
      </c>
      <c r="B148" s="3" t="n"/>
      <c r="C148" s="3" t="inlineStr">
        <is>
          <t>https://youtu.be/UiertF-2_kY?si=0XXdmAyXOR_PE0OM</t>
        </is>
      </c>
      <c r="D148" s="3" t="n"/>
      <c r="E148" s="3" t="n"/>
      <c r="F148" s="3" t="n"/>
      <c r="G148" s="3" t="n"/>
      <c r="H148" s="3" t="n"/>
      <c r="I148" s="3" t="n"/>
      <c r="J148" s="3" t="n"/>
      <c r="K148" s="2" t="inlineStr">
        <is>
          <t>Y</t>
        </is>
      </c>
      <c r="L148" s="2" t="inlineStr">
        <is>
          <t>done</t>
        </is>
      </c>
      <c r="M148" s="3" t="inlineStr">
        <is>
          <t>transcripts\ktm_duke_390_standard.txt</t>
        </is>
      </c>
      <c r="N148" s="3" t="n"/>
      <c r="O148" s="3" t="n"/>
      <c r="P148" s="3" t="n"/>
      <c r="Q148" s="3" t="n"/>
      <c r="R148" s="3" t="n"/>
    </row>
    <row r="149">
      <c r="A149" s="2" t="inlineStr">
        <is>
          <t>ktm_rc_125_standard</t>
        </is>
      </c>
      <c r="B149" s="3" t="n"/>
      <c r="C149" s="3" t="inlineStr">
        <is>
          <t>https://youtu.be/srlpfefy13I?si=4evegwiZ6FlDmM32</t>
        </is>
      </c>
      <c r="D149" s="3" t="n"/>
      <c r="E149" s="3" t="n"/>
      <c r="F149" s="3" t="n"/>
      <c r="G149" s="3" t="n"/>
      <c r="H149" s="3" t="n"/>
      <c r="I149" s="3" t="n"/>
      <c r="J149" s="3" t="n"/>
      <c r="K149" s="2" t="inlineStr">
        <is>
          <t>Y</t>
        </is>
      </c>
      <c r="L149" s="2" t="inlineStr">
        <is>
          <t>done</t>
        </is>
      </c>
      <c r="M149" s="3" t="inlineStr">
        <is>
          <t>transcripts\ktm_rc_125_standard.txt</t>
        </is>
      </c>
      <c r="N149" s="3" t="n"/>
      <c r="O149" s="3" t="n"/>
      <c r="P149" s="3" t="n"/>
      <c r="Q149" s="3" t="n"/>
      <c r="R149" s="3" t="n"/>
    </row>
    <row r="150">
      <c r="A150" s="2" t="inlineStr">
        <is>
          <t>ktm_rc_200_standard</t>
        </is>
      </c>
      <c r="B150" s="3" t="n"/>
      <c r="C150" s="3" t="inlineStr">
        <is>
          <t>https://youtu.be/gTkxSVw5UcI?si=olf5NmD-R760MjJ1</t>
        </is>
      </c>
      <c r="D150" s="3" t="n"/>
      <c r="E150" s="3" t="n"/>
      <c r="F150" s="3" t="n"/>
      <c r="G150" s="3" t="n"/>
      <c r="H150" s="3" t="n"/>
      <c r="I150" s="3" t="n"/>
      <c r="J150" s="3" t="n"/>
      <c r="K150" s="2" t="inlineStr">
        <is>
          <t>Y</t>
        </is>
      </c>
      <c r="L150" s="2" t="inlineStr">
        <is>
          <t>done</t>
        </is>
      </c>
      <c r="M150" s="3" t="inlineStr">
        <is>
          <t>transcripts\ktm_rc_200_standard.txt</t>
        </is>
      </c>
      <c r="N150" s="3" t="n"/>
      <c r="O150" s="3" t="n"/>
      <c r="P150" s="3" t="n"/>
      <c r="Q150" s="3" t="n"/>
      <c r="R150" s="3" t="n"/>
    </row>
    <row r="151">
      <c r="A151" s="2" t="inlineStr">
        <is>
          <t>ktm_rc_390_standard</t>
        </is>
      </c>
      <c r="B151" s="3" t="n"/>
      <c r="C151" s="3" t="inlineStr">
        <is>
          <t>https://youtu.be/PW6cRUGlYeg?si=kQVPzKPoCUVkCgzs</t>
        </is>
      </c>
      <c r="D151" s="3" t="n"/>
      <c r="E151" s="3" t="n"/>
      <c r="F151" s="3" t="n"/>
      <c r="G151" s="3" t="n"/>
      <c r="H151" s="3" t="n"/>
      <c r="I151" s="3" t="n"/>
      <c r="J151" s="3" t="n"/>
      <c r="K151" s="2" t="inlineStr">
        <is>
          <t>Y</t>
        </is>
      </c>
      <c r="L151" s="2" t="inlineStr">
        <is>
          <t>done</t>
        </is>
      </c>
      <c r="M151" s="3" t="inlineStr">
        <is>
          <t>transcripts\ktm_rc_390_standard.txt</t>
        </is>
      </c>
      <c r="N151" s="3" t="n"/>
      <c r="O151" s="3" t="n"/>
      <c r="P151" s="3" t="n"/>
      <c r="Q151" s="3" t="n"/>
      <c r="R151" s="3" t="n"/>
    </row>
    <row r="152">
      <c r="A152" s="2" t="inlineStr">
        <is>
          <t>ktm_adventure_250_standard</t>
        </is>
      </c>
      <c r="B152" s="3" t="n"/>
      <c r="C152" s="3" t="inlineStr">
        <is>
          <t>https://youtu.be/uYyvMLyIMrw?si=CSTXpNMiVH4LQJsB</t>
        </is>
      </c>
      <c r="D152" s="3" t="n"/>
      <c r="E152" s="3" t="n"/>
      <c r="F152" s="3" t="n"/>
      <c r="G152" s="3" t="n"/>
      <c r="H152" s="3" t="n"/>
      <c r="I152" s="3" t="n"/>
      <c r="J152" s="3" t="n"/>
      <c r="K152" s="2" t="inlineStr">
        <is>
          <t>Y</t>
        </is>
      </c>
      <c r="L152" s="2" t="inlineStr">
        <is>
          <t>done</t>
        </is>
      </c>
      <c r="M152" s="3" t="inlineStr">
        <is>
          <t>transcripts\ktm_adventure_250_standard.txt</t>
        </is>
      </c>
      <c r="N152" s="3" t="n"/>
      <c r="O152" s="3" t="n"/>
      <c r="P152" s="3" t="n"/>
      <c r="Q152" s="3" t="n"/>
      <c r="R152" s="3" t="n"/>
    </row>
    <row r="153">
      <c r="A153" s="2" t="inlineStr">
        <is>
          <t>ktm_adventure_390_standard</t>
        </is>
      </c>
      <c r="B153" s="3" t="n"/>
      <c r="C153" s="3" t="inlineStr">
        <is>
          <t>https://youtu.be/n5vxA7GiSwg?si=3R6ZhJNONUcSVf8F</t>
        </is>
      </c>
      <c r="D153" s="3" t="n"/>
      <c r="E153" s="3" t="n"/>
      <c r="F153" s="3" t="n"/>
      <c r="G153" s="3" t="n"/>
      <c r="H153" s="3" t="n"/>
      <c r="I153" s="3" t="n"/>
      <c r="J153" s="3" t="n"/>
      <c r="K153" s="2" t="inlineStr">
        <is>
          <t>Y</t>
        </is>
      </c>
      <c r="L153" s="2" t="inlineStr">
        <is>
          <t>done</t>
        </is>
      </c>
      <c r="M153" s="3" t="inlineStr">
        <is>
          <t>transcripts\ktm_adventure_390_standard.txt</t>
        </is>
      </c>
      <c r="N153" s="3" t="n"/>
      <c r="O153" s="3" t="n"/>
      <c r="P153" s="3" t="n"/>
      <c r="Q153" s="3" t="n"/>
      <c r="R153" s="3" t="n"/>
    </row>
    <row r="154">
      <c r="A154" s="2" t="inlineStr">
        <is>
          <t>ktm_adventure_390_x_standard</t>
        </is>
      </c>
      <c r="B154" s="3" t="n"/>
      <c r="C154" s="3" t="inlineStr">
        <is>
          <t>https://youtu.be/XZroaZ0noV8?si=7tq536e8N09tc3bT</t>
        </is>
      </c>
      <c r="D154" s="3" t="n"/>
      <c r="E154" s="3" t="n"/>
      <c r="F154" s="3" t="n"/>
      <c r="G154" s="3" t="n"/>
      <c r="H154" s="3" t="n"/>
      <c r="I154" s="3" t="n"/>
      <c r="J154" s="3" t="n"/>
      <c r="K154" s="2" t="inlineStr">
        <is>
          <t>Y</t>
        </is>
      </c>
      <c r="L154" s="2" t="inlineStr">
        <is>
          <t>done</t>
        </is>
      </c>
      <c r="M154" s="3" t="inlineStr">
        <is>
          <t>transcripts\ktm_adventure_390_x_standard.txt</t>
        </is>
      </c>
      <c r="N154" s="3" t="n"/>
      <c r="O154" s="3" t="n"/>
      <c r="P154" s="3" t="n"/>
      <c r="Q154" s="3" t="n"/>
      <c r="R154" s="3" t="n"/>
    </row>
    <row r="155">
      <c r="A155" s="2" t="inlineStr">
        <is>
          <t>ktm_890_duke_r_standard</t>
        </is>
      </c>
      <c r="B155" s="3" t="n"/>
      <c r="C155" s="3" t="inlineStr">
        <is>
          <t>https://youtu.be/w1zHVfeCVaY?si=ChNKWKHIcpnSowWZ</t>
        </is>
      </c>
      <c r="D155" s="3" t="n"/>
      <c r="E155" s="3" t="n"/>
      <c r="F155" s="3" t="n"/>
      <c r="G155" s="3" t="n"/>
      <c r="H155" s="3" t="n"/>
      <c r="I155" s="3" t="n"/>
      <c r="J155" s="3" t="n"/>
      <c r="K155" s="2" t="inlineStr">
        <is>
          <t>Y</t>
        </is>
      </c>
      <c r="L155" s="2" t="inlineStr">
        <is>
          <t>done</t>
        </is>
      </c>
      <c r="M155" s="3" t="inlineStr">
        <is>
          <t>transcripts\ktm_890_duke_r_standard.txt</t>
        </is>
      </c>
      <c r="N155" s="3" t="n"/>
      <c r="O155" s="3" t="n"/>
      <c r="P155" s="3" t="n"/>
      <c r="Q155" s="3" t="n"/>
      <c r="R155" s="3" t="n"/>
    </row>
    <row r="156">
      <c r="A156" s="2" t="inlineStr">
        <is>
          <t>ktm_1390_super_duke_r_standard</t>
        </is>
      </c>
      <c r="B156" s="3" t="n"/>
      <c r="C156" s="3" t="inlineStr">
        <is>
          <t>https://youtu.be/EmzNgAsGU9w?si=5LREUtK5Tc2qAM4h</t>
        </is>
      </c>
      <c r="D156" s="3" t="n"/>
      <c r="E156" s="3" t="n"/>
      <c r="F156" s="3" t="n"/>
      <c r="G156" s="3" t="n"/>
      <c r="H156" s="3" t="n"/>
      <c r="I156" s="3" t="n"/>
      <c r="J156" s="3" t="n"/>
      <c r="K156" s="2" t="inlineStr">
        <is>
          <t>Y</t>
        </is>
      </c>
      <c r="L156" s="2" t="inlineStr">
        <is>
          <t>done</t>
        </is>
      </c>
      <c r="M156" s="3" t="inlineStr">
        <is>
          <t>transcripts\ktm_1390_super_duke_r_standard.txt</t>
        </is>
      </c>
      <c r="N156" s="3" t="n"/>
      <c r="O156" s="3" t="n"/>
      <c r="P156" s="3" t="n"/>
      <c r="Q156" s="3" t="n"/>
      <c r="R156" s="3" t="n"/>
    </row>
    <row r="157">
      <c r="A157" s="2" t="inlineStr">
        <is>
          <t>ktm_890_adventure_r_standard</t>
        </is>
      </c>
      <c r="B157" s="3" t="n"/>
      <c r="C157" s="3" t="inlineStr">
        <is>
          <t>https://youtu.be/l_2ivLWr624?si=QMeTZ3l5KkkEgdZw</t>
        </is>
      </c>
      <c r="D157" s="3" t="n"/>
      <c r="E157" s="3" t="n"/>
      <c r="F157" s="3" t="n"/>
      <c r="G157" s="3" t="n"/>
      <c r="H157" s="3" t="n"/>
      <c r="I157" s="3" t="n"/>
      <c r="J157" s="3" t="n"/>
      <c r="K157" s="2" t="inlineStr">
        <is>
          <t>Y</t>
        </is>
      </c>
      <c r="L157" s="2" t="inlineStr">
        <is>
          <t>done</t>
        </is>
      </c>
      <c r="M157" s="3" t="inlineStr">
        <is>
          <t>transcripts\ktm_890_adventure_r_standard.txt</t>
        </is>
      </c>
      <c r="N157" s="3" t="n"/>
      <c r="O157" s="3" t="n"/>
      <c r="P157" s="3" t="n"/>
      <c r="Q157" s="3" t="n"/>
      <c r="R157" s="3" t="n"/>
    </row>
    <row r="158">
      <c r="A158" s="2" t="inlineStr">
        <is>
          <t>moto_guzzi_v7_stone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2" t="inlineStr">
        <is>
          <t>Y</t>
        </is>
      </c>
      <c r="L158" s="2" t="inlineStr">
        <is>
          <t>pending</t>
        </is>
      </c>
      <c r="M158" s="3" t="n"/>
      <c r="N158" s="3" t="n"/>
      <c r="O158" s="3" t="n"/>
      <c r="P158" s="3" t="n"/>
      <c r="Q158" s="3" t="n"/>
      <c r="R158" s="3" t="n"/>
    </row>
    <row r="159">
      <c r="A159" s="2" t="inlineStr">
        <is>
          <t>moto_guzzi_v85_tt_standard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2" t="inlineStr">
        <is>
          <t>Y</t>
        </is>
      </c>
      <c r="L159" s="2" t="inlineStr">
        <is>
          <t>pending</t>
        </is>
      </c>
      <c r="M159" s="3" t="n"/>
      <c r="N159" s="3" t="n"/>
      <c r="O159" s="3" t="n"/>
      <c r="P159" s="3" t="n"/>
      <c r="Q159" s="3" t="n"/>
      <c r="R159" s="3" t="n"/>
    </row>
    <row r="160">
      <c r="A160" s="2" t="inlineStr">
        <is>
          <t>moto_guzzi_v100_mandello_standard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2" t="inlineStr">
        <is>
          <t>Y</t>
        </is>
      </c>
      <c r="L160" s="2" t="inlineStr">
        <is>
          <t>pending</t>
        </is>
      </c>
      <c r="M160" s="3" t="n"/>
      <c r="N160" s="3" t="n"/>
      <c r="O160" s="3" t="n"/>
      <c r="P160" s="3" t="n"/>
      <c r="Q160" s="3" t="n"/>
      <c r="R160" s="3" t="n"/>
    </row>
    <row r="161">
      <c r="A161" s="2" t="inlineStr">
        <is>
          <t>moto_morini_seiemmezzo_650_retro_street_standard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2" t="inlineStr">
        <is>
          <t>Y</t>
        </is>
      </c>
      <c r="L161" s="2" t="inlineStr">
        <is>
          <t>pending</t>
        </is>
      </c>
      <c r="M161" s="3" t="n"/>
      <c r="N161" s="3" t="n"/>
      <c r="O161" s="3" t="n"/>
      <c r="P161" s="3" t="n"/>
      <c r="Q161" s="3" t="n"/>
      <c r="R161" s="3" t="n"/>
    </row>
    <row r="162">
      <c r="A162" s="2" t="inlineStr">
        <is>
          <t>moto_morini_seiemmezzo_650_scrambler_standard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2" t="inlineStr">
        <is>
          <t>Y</t>
        </is>
      </c>
      <c r="L162" s="2" t="inlineStr">
        <is>
          <t>pending</t>
        </is>
      </c>
      <c r="M162" s="3" t="n"/>
      <c r="N162" s="3" t="n"/>
      <c r="O162" s="3" t="n"/>
      <c r="P162" s="3" t="n"/>
      <c r="Q162" s="3" t="n"/>
      <c r="R162" s="3" t="n"/>
    </row>
    <row r="163">
      <c r="A163" s="2" t="inlineStr">
        <is>
          <t>moto_morini_x_cape_650_standard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2" t="inlineStr">
        <is>
          <t>Y</t>
        </is>
      </c>
      <c r="L163" s="2" t="inlineStr">
        <is>
          <t>pending</t>
        </is>
      </c>
      <c r="M163" s="3" t="n"/>
      <c r="N163" s="3" t="n"/>
      <c r="O163" s="3" t="n"/>
      <c r="P163" s="3" t="n"/>
      <c r="Q163" s="3" t="n"/>
      <c r="R163" s="3" t="n"/>
    </row>
    <row r="164">
      <c r="A164" s="2" t="inlineStr">
        <is>
          <t>moto_morini_x_cape_650x_standard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2" t="inlineStr">
        <is>
          <t>Y</t>
        </is>
      </c>
      <c r="L164" s="2" t="inlineStr">
        <is>
          <t>pending</t>
        </is>
      </c>
      <c r="M164" s="3" t="n"/>
      <c r="N164" s="3" t="n"/>
      <c r="O164" s="3" t="n"/>
      <c r="P164" s="3" t="n"/>
      <c r="Q164" s="3" t="n"/>
      <c r="R164" s="3" t="n"/>
    </row>
    <row r="165">
      <c r="A165" s="2" t="inlineStr">
        <is>
          <t>qj_motor_src_250_standard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2" t="inlineStr">
        <is>
          <t>Y</t>
        </is>
      </c>
      <c r="L165" s="2" t="inlineStr">
        <is>
          <t>pending</t>
        </is>
      </c>
      <c r="M165" s="3" t="n"/>
      <c r="N165" s="3" t="n"/>
      <c r="O165" s="3" t="n"/>
      <c r="P165" s="3" t="n"/>
      <c r="Q165" s="3" t="n"/>
      <c r="R165" s="3" t="n"/>
    </row>
    <row r="166">
      <c r="A166" s="2" t="inlineStr">
        <is>
          <t>qj_motor_src_500_standard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2" t="inlineStr">
        <is>
          <t>Y</t>
        </is>
      </c>
      <c r="L166" s="2" t="inlineStr">
        <is>
          <t>pending</t>
        </is>
      </c>
      <c r="M166" s="3" t="n"/>
      <c r="N166" s="3" t="n"/>
      <c r="O166" s="3" t="n"/>
      <c r="P166" s="3" t="n"/>
      <c r="Q166" s="3" t="n"/>
      <c r="R166" s="3" t="n"/>
    </row>
    <row r="167">
      <c r="A167" s="2" t="inlineStr">
        <is>
          <t>qj_motor_srv_300_standard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2" t="inlineStr">
        <is>
          <t>Y</t>
        </is>
      </c>
      <c r="L167" s="2" t="inlineStr">
        <is>
          <t>pending</t>
        </is>
      </c>
      <c r="M167" s="3" t="n"/>
      <c r="N167" s="3" t="n"/>
      <c r="O167" s="3" t="n"/>
      <c r="P167" s="3" t="n"/>
      <c r="Q167" s="3" t="n"/>
      <c r="R167" s="3" t="n"/>
    </row>
    <row r="168">
      <c r="A168" s="2" t="inlineStr">
        <is>
          <t>qj_motor_srk_400_white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2" t="inlineStr">
        <is>
          <t>Y</t>
        </is>
      </c>
      <c r="L168" s="2" t="inlineStr">
        <is>
          <t>pending</t>
        </is>
      </c>
      <c r="M168" s="3" t="n"/>
      <c r="N168" s="3" t="n"/>
      <c r="O168" s="3" t="n"/>
      <c r="P168" s="3" t="n"/>
      <c r="Q168" s="3" t="n"/>
      <c r="R168" s="3" t="n"/>
    </row>
    <row r="169">
      <c r="A169" s="2" t="inlineStr">
        <is>
          <t>royal_enfield_hunter_350_retro_factory</t>
        </is>
      </c>
      <c r="B169" s="3" t="n"/>
      <c r="C169" s="3" t="inlineStr">
        <is>
          <t>https://youtu.be/r4HLwbiO_U8?si=5xZ9HULc2ar3SIf-</t>
        </is>
      </c>
      <c r="D169" s="3" t="n"/>
      <c r="E169" s="3" t="n"/>
      <c r="F169" s="3" t="n"/>
      <c r="G169" s="3" t="n"/>
      <c r="H169" s="3" t="n"/>
      <c r="I169" s="3" t="n"/>
      <c r="J169" s="3" t="n"/>
      <c r="K169" s="2" t="inlineStr">
        <is>
          <t>Y</t>
        </is>
      </c>
      <c r="L169" s="2" t="inlineStr">
        <is>
          <t>done</t>
        </is>
      </c>
      <c r="M169" s="3" t="inlineStr">
        <is>
          <t>transcripts\royal_enfield_hunter_350_retro_factory.txt</t>
        </is>
      </c>
      <c r="N169" s="3" t="n"/>
      <c r="O169" s="3" t="n"/>
      <c r="P169" s="3" t="n"/>
      <c r="Q169" s="3" t="n"/>
      <c r="R169" s="3" t="n"/>
    </row>
    <row r="170">
      <c r="A170" s="2" t="inlineStr">
        <is>
          <t>royal_enfield_bullet_350_military_red</t>
        </is>
      </c>
      <c r="B170" s="3" t="n"/>
      <c r="C170" s="9" t="inlineStr">
        <is>
          <t>https://youtu.be/b9XugLNGfms?si=yfwynPND_S1-Onwh</t>
        </is>
      </c>
      <c r="D170" s="3" t="n"/>
      <c r="E170" s="3" t="n"/>
      <c r="F170" s="3" t="n"/>
      <c r="G170" s="3" t="n"/>
      <c r="H170" s="3" t="n"/>
      <c r="I170" s="3" t="n"/>
      <c r="J170" s="3" t="n"/>
      <c r="K170" s="2" t="inlineStr">
        <is>
          <t>Y</t>
        </is>
      </c>
      <c r="L170" s="2" t="inlineStr">
        <is>
          <t>done</t>
        </is>
      </c>
      <c r="M170" s="3" t="inlineStr">
        <is>
          <t>transcripts\royal_enfield_bullet_350_military_red.txt</t>
        </is>
      </c>
      <c r="N170" s="3" t="n"/>
      <c r="O170" s="3" t="n"/>
      <c r="P170" s="3" t="n"/>
      <c r="Q170" s="3" t="n"/>
      <c r="R170" s="3" t="n"/>
    </row>
    <row r="171">
      <c r="A171" s="2" t="inlineStr">
        <is>
          <t>royal_enfield_classic_350_heritage</t>
        </is>
      </c>
      <c r="B171" s="3" t="n"/>
      <c r="C171" s="9" t="inlineStr">
        <is>
          <t>https://youtu.be/88rgLE_eNJk?si=GIiIjF7uv6gU44p5</t>
        </is>
      </c>
      <c r="D171" s="3" t="n"/>
      <c r="E171" s="3" t="n"/>
      <c r="F171" s="3" t="n"/>
      <c r="G171" s="3" t="n"/>
      <c r="H171" s="3" t="n"/>
      <c r="I171" s="3" t="n"/>
      <c r="J171" s="3" t="n"/>
      <c r="K171" s="2" t="inlineStr">
        <is>
          <t>Y</t>
        </is>
      </c>
      <c r="L171" s="2" t="inlineStr">
        <is>
          <t>done</t>
        </is>
      </c>
      <c r="M171" s="3" t="inlineStr">
        <is>
          <t>transcripts\royal_enfield_classic_350_heritage.txt</t>
        </is>
      </c>
      <c r="N171" s="3" t="n"/>
      <c r="O171" s="3" t="n"/>
      <c r="P171" s="3" t="n"/>
      <c r="Q171" s="3" t="n"/>
      <c r="R171" s="3" t="n"/>
    </row>
    <row r="172">
      <c r="A172" s="2" t="inlineStr">
        <is>
          <t>royal_enfield_meteor_350_fireball</t>
        </is>
      </c>
      <c r="B172" s="3" t="n"/>
      <c r="C172" s="3" t="inlineStr">
        <is>
          <t>https://youtu.be/P-giG7xyURM?si=S33xiUEUq4ZoFfDM</t>
        </is>
      </c>
      <c r="D172" s="3" t="n"/>
      <c r="E172" s="3" t="n"/>
      <c r="F172" s="3" t="n"/>
      <c r="G172" s="3" t="n"/>
      <c r="H172" s="3" t="n"/>
      <c r="I172" s="3" t="n"/>
      <c r="J172" s="3" t="n"/>
      <c r="K172" s="2" t="inlineStr">
        <is>
          <t>Y</t>
        </is>
      </c>
      <c r="L172" s="2" t="inlineStr">
        <is>
          <t>done</t>
        </is>
      </c>
      <c r="M172" s="3" t="inlineStr">
        <is>
          <t>transcripts\royal_enfield_meteor_350_fireball.txt</t>
        </is>
      </c>
      <c r="N172" s="3" t="n"/>
      <c r="O172" s="3" t="n"/>
      <c r="P172" s="3" t="n"/>
      <c r="Q172" s="3" t="n"/>
      <c r="R172" s="3" t="n"/>
    </row>
    <row r="173">
      <c r="A173" s="2" t="inlineStr">
        <is>
          <t>royal_enfield_goan_classic_350_standard</t>
        </is>
      </c>
      <c r="B173" s="3" t="n"/>
      <c r="C173" s="3" t="inlineStr">
        <is>
          <t>https://youtu.be/i6dRBZrk9gE?si=uaY4j3nfgCz0BwaT</t>
        </is>
      </c>
      <c r="D173" s="3" t="n"/>
      <c r="E173" s="3" t="n"/>
      <c r="F173" s="3" t="n"/>
      <c r="G173" s="3" t="n"/>
      <c r="H173" s="3" t="n"/>
      <c r="I173" s="3" t="n"/>
      <c r="J173" s="3" t="n"/>
      <c r="K173" s="2" t="inlineStr">
        <is>
          <t>Y</t>
        </is>
      </c>
      <c r="L173" s="2" t="inlineStr">
        <is>
          <t>done</t>
        </is>
      </c>
      <c r="M173" s="3" t="inlineStr">
        <is>
          <t>transcripts\royal_enfield_goan_classic_350_standard.txt</t>
        </is>
      </c>
      <c r="N173" s="3" t="n"/>
      <c r="O173" s="3" t="n"/>
      <c r="P173" s="3" t="n"/>
      <c r="Q173" s="3" t="n"/>
      <c r="R173" s="3" t="n"/>
    </row>
    <row r="174">
      <c r="A174" s="2" t="inlineStr">
        <is>
          <t>royal_enfield_scram_440_standard</t>
        </is>
      </c>
      <c r="B174" s="3" t="n"/>
      <c r="C174" s="3" t="inlineStr">
        <is>
          <t>https://youtu.be/QKZ8gvVJOm0?si=aCqGgST8kxUr1ryU</t>
        </is>
      </c>
      <c r="D174" s="3" t="n"/>
      <c r="E174" s="3" t="n"/>
      <c r="F174" s="3" t="n"/>
      <c r="G174" s="3" t="n"/>
      <c r="H174" s="3" t="n"/>
      <c r="I174" s="3" t="n"/>
      <c r="J174" s="3" t="n"/>
      <c r="K174" s="2" t="inlineStr">
        <is>
          <t>Y</t>
        </is>
      </c>
      <c r="L174" s="2" t="inlineStr">
        <is>
          <t>done</t>
        </is>
      </c>
      <c r="M174" s="3" t="inlineStr">
        <is>
          <t>transcripts\royal_enfield_scram_440_standard.txt</t>
        </is>
      </c>
      <c r="N174" s="3" t="n"/>
      <c r="O174" s="3" t="n"/>
      <c r="P174" s="3" t="n"/>
      <c r="Q174" s="3" t="n"/>
      <c r="R174" s="3" t="n"/>
    </row>
    <row r="175">
      <c r="A175" s="2" t="inlineStr">
        <is>
          <t>royal_enfield_guerrilla_450_analogue</t>
        </is>
      </c>
      <c r="B175" s="3" t="n"/>
      <c r="C175" s="3" t="inlineStr">
        <is>
          <t>https://youtu.be/Q9zgH6-mv9Y?si=RisTUs7jufc70B4s</t>
        </is>
      </c>
      <c r="D175" s="3" t="n"/>
      <c r="E175" s="3" t="n"/>
      <c r="F175" s="3" t="n"/>
      <c r="G175" s="3" t="n"/>
      <c r="H175" s="3" t="n"/>
      <c r="I175" s="3" t="n"/>
      <c r="J175" s="3" t="n"/>
      <c r="K175" s="2" t="inlineStr">
        <is>
          <t>Y</t>
        </is>
      </c>
      <c r="L175" s="2" t="inlineStr">
        <is>
          <t>done</t>
        </is>
      </c>
      <c r="M175" s="3" t="inlineStr">
        <is>
          <t>transcripts\royal_enfield_guerrilla_450_analogue.txt</t>
        </is>
      </c>
      <c r="N175" s="3" t="n"/>
      <c r="O175" s="3" t="n"/>
      <c r="P175" s="3" t="n"/>
      <c r="Q175" s="3" t="n"/>
      <c r="R175" s="3" t="n"/>
    </row>
    <row r="176">
      <c r="A176" s="2" t="inlineStr">
        <is>
          <t>royal_enfield_himalayan_450_base</t>
        </is>
      </c>
      <c r="B176" s="3" t="n"/>
      <c r="C176" s="3" t="inlineStr">
        <is>
          <t>https://youtu.be/6lcfqxQNiys?si=iOJZzZt0CgfneChs</t>
        </is>
      </c>
      <c r="D176" s="3" t="n"/>
      <c r="E176" s="3" t="n"/>
      <c r="F176" s="3" t="n"/>
      <c r="G176" s="3" t="n"/>
      <c r="H176" s="3" t="n"/>
      <c r="I176" s="3" t="n"/>
      <c r="J176" s="3" t="n"/>
      <c r="K176" s="2" t="inlineStr">
        <is>
          <t>Y</t>
        </is>
      </c>
      <c r="L176" s="2" t="inlineStr">
        <is>
          <t>done</t>
        </is>
      </c>
      <c r="M176" s="3" t="inlineStr">
        <is>
          <t>transcripts\royal_enfield_himalayan_450_base.txt</t>
        </is>
      </c>
      <c r="N176" s="3" t="n"/>
      <c r="O176" s="3" t="n"/>
      <c r="P176" s="3" t="n"/>
      <c r="Q176" s="3" t="n"/>
      <c r="R176" s="3" t="n"/>
    </row>
    <row r="177">
      <c r="A177" s="2" t="inlineStr">
        <is>
          <t>royal_enfield_interceptor_650_canyon_red</t>
        </is>
      </c>
      <c r="B177" s="3" t="n"/>
      <c r="C177" s="3" t="inlineStr">
        <is>
          <t>https://youtu.be/JdyOOX4nqtk?si=TxJXUa1epEy5erqQ</t>
        </is>
      </c>
      <c r="D177" s="3" t="n"/>
      <c r="E177" s="3" t="n"/>
      <c r="F177" s="3" t="n"/>
      <c r="G177" s="3" t="n"/>
      <c r="H177" s="3" t="n"/>
      <c r="I177" s="3" t="n"/>
      <c r="J177" s="3" t="n"/>
      <c r="K177" s="2" t="inlineStr">
        <is>
          <t>Y</t>
        </is>
      </c>
      <c r="L177" s="2" t="inlineStr">
        <is>
          <t>done</t>
        </is>
      </c>
      <c r="M177" s="3" t="inlineStr">
        <is>
          <t>transcripts\royal_enfield_interceptor_650_canyon_red.txt</t>
        </is>
      </c>
      <c r="N177" s="3" t="n"/>
      <c r="O177" s="3" t="n"/>
      <c r="P177" s="3" t="n"/>
      <c r="Q177" s="3" t="n"/>
      <c r="R177" s="3" t="n"/>
    </row>
    <row r="178">
      <c r="A178" s="2" t="inlineStr">
        <is>
          <t>royal_enfield_continental_gt_650_rocker_red</t>
        </is>
      </c>
      <c r="B178" s="3" t="n"/>
      <c r="C178" s="3" t="inlineStr">
        <is>
          <t>https://youtu.be/UTOrrY__gM0?si=O8u9h7bddB2Jk84d</t>
        </is>
      </c>
      <c r="D178" s="3" t="n"/>
      <c r="E178" s="3" t="n"/>
      <c r="F178" s="3" t="n"/>
      <c r="G178" s="3" t="n"/>
      <c r="H178" s="3" t="n"/>
      <c r="I178" s="3" t="n"/>
      <c r="J178" s="3" t="n"/>
      <c r="K178" s="2" t="inlineStr">
        <is>
          <t>Y</t>
        </is>
      </c>
      <c r="L178" s="2" t="inlineStr">
        <is>
          <t>done</t>
        </is>
      </c>
      <c r="M178" s="3" t="inlineStr">
        <is>
          <t>transcripts\royal_enfield_continental_gt_650_rocker_red.txt</t>
        </is>
      </c>
      <c r="N178" s="3" t="n"/>
      <c r="O178" s="3" t="n"/>
      <c r="P178" s="3" t="n"/>
      <c r="Q178" s="3" t="n"/>
      <c r="R178" s="3" t="n"/>
    </row>
    <row r="179">
      <c r="A179" s="2" t="inlineStr">
        <is>
          <t>royal_enfield_classic_650_standard</t>
        </is>
      </c>
      <c r="B179" s="3" t="n"/>
      <c r="C179" s="3" t="inlineStr">
        <is>
          <t>https://youtu.be/Mbow2spJRnQ?si=ieZMBTQLZiffNgtq</t>
        </is>
      </c>
      <c r="D179" s="3" t="n"/>
      <c r="E179" s="3" t="n"/>
      <c r="F179" s="3" t="n"/>
      <c r="G179" s="3" t="n"/>
      <c r="H179" s="3" t="n"/>
      <c r="I179" s="3" t="n"/>
      <c r="J179" s="3" t="n"/>
      <c r="K179" s="2" t="inlineStr">
        <is>
          <t>Y</t>
        </is>
      </c>
      <c r="L179" s="2" t="inlineStr">
        <is>
          <t>done</t>
        </is>
      </c>
      <c r="M179" s="3" t="inlineStr">
        <is>
          <t>transcripts\royal_enfield_classic_650_standard.txt</t>
        </is>
      </c>
      <c r="N179" s="3" t="n"/>
      <c r="O179" s="3" t="n"/>
      <c r="P179" s="3" t="n"/>
      <c r="Q179" s="3" t="n"/>
      <c r="R179" s="3" t="n"/>
    </row>
    <row r="180">
      <c r="A180" s="2" t="inlineStr">
        <is>
          <t>royal_enfield_bullet_650_standard</t>
        </is>
      </c>
      <c r="B180" s="3" t="n"/>
      <c r="C180" s="3" t="inlineStr">
        <is>
          <t>https://youtu.be/8t3WbWBic2w?si=l_8yuTtxehkQ_BnZ</t>
        </is>
      </c>
      <c r="D180" s="3" t="n"/>
      <c r="E180" s="3" t="n"/>
      <c r="F180" s="3" t="n"/>
      <c r="G180" s="3" t="n"/>
      <c r="H180" s="3" t="n"/>
      <c r="I180" s="3" t="n"/>
      <c r="J180" s="3" t="n"/>
      <c r="K180" s="2" t="inlineStr">
        <is>
          <t>Y</t>
        </is>
      </c>
      <c r="L180" s="2" t="inlineStr">
        <is>
          <t>done</t>
        </is>
      </c>
      <c r="M180" s="3" t="inlineStr">
        <is>
          <t>transcripts\royal_enfield_bullet_650_standard.txt</t>
        </is>
      </c>
      <c r="N180" s="3" t="n"/>
      <c r="O180" s="3" t="n"/>
      <c r="P180" s="3" t="n"/>
      <c r="Q180" s="3" t="n"/>
      <c r="R180" s="3" t="n"/>
    </row>
    <row r="181">
      <c r="A181" s="2" t="inlineStr">
        <is>
          <t>royal_enfield_bear_650_boardwalk_white</t>
        </is>
      </c>
      <c r="B181" s="3" t="n"/>
      <c r="C181" s="3" t="inlineStr">
        <is>
          <t>https://youtu.be/_ccWyXTldSY?si=7qXd2N9A5LYk_5A4</t>
        </is>
      </c>
      <c r="D181" s="3" t="n"/>
      <c r="E181" s="3" t="n"/>
      <c r="F181" s="3" t="n"/>
      <c r="G181" s="3" t="n"/>
      <c r="H181" s="3" t="n"/>
      <c r="I181" s="3" t="n"/>
      <c r="J181" s="3" t="n"/>
      <c r="K181" s="2" t="inlineStr">
        <is>
          <t>Y</t>
        </is>
      </c>
      <c r="L181" s="2" t="inlineStr">
        <is>
          <t>done</t>
        </is>
      </c>
      <c r="M181" s="3" t="inlineStr">
        <is>
          <t>transcripts\royal_enfield_bear_650_boardwalk_white.txt</t>
        </is>
      </c>
      <c r="N181" s="3" t="n"/>
      <c r="O181" s="3" t="n"/>
      <c r="P181" s="3" t="n"/>
      <c r="Q181" s="3" t="n"/>
      <c r="R181" s="3" t="n"/>
    </row>
    <row r="182">
      <c r="A182" s="2" t="inlineStr">
        <is>
          <t>royal_enfield_shotgun_650_base</t>
        </is>
      </c>
      <c r="B182" s="3" t="n"/>
      <c r="C182" s="3" t="inlineStr">
        <is>
          <t>https://youtu.be/KNsscBWjnD0?si=MIoHD_dncIlEprzh</t>
        </is>
      </c>
      <c r="D182" s="3" t="n"/>
      <c r="E182" s="3" t="n"/>
      <c r="F182" s="3" t="n"/>
      <c r="G182" s="3" t="n"/>
      <c r="H182" s="3" t="n"/>
      <c r="I182" s="3" t="n"/>
      <c r="J182" s="3" t="n"/>
      <c r="K182" s="2" t="inlineStr">
        <is>
          <t>Y</t>
        </is>
      </c>
      <c r="L182" s="2" t="inlineStr">
        <is>
          <t>done</t>
        </is>
      </c>
      <c r="M182" s="3" t="inlineStr">
        <is>
          <t>transcripts\royal_enfield_shotgun_650_base.txt</t>
        </is>
      </c>
      <c r="N182" s="3" t="n"/>
      <c r="O182" s="3" t="n"/>
      <c r="P182" s="3" t="n"/>
      <c r="Q182" s="3" t="n"/>
      <c r="R182" s="3" t="n"/>
    </row>
    <row r="183">
      <c r="A183" s="2" t="inlineStr">
        <is>
          <t>royal_enfield_super_meteor_650_astral</t>
        </is>
      </c>
      <c r="B183" s="3" t="n"/>
      <c r="C183" s="3" t="inlineStr">
        <is>
          <t>https://youtu.be/kmRgi473xrQ?si=ZxtPYHVbhIJ4aZ_Q</t>
        </is>
      </c>
      <c r="D183" s="3" t="n"/>
      <c r="E183" s="3" t="n"/>
      <c r="F183" s="3" t="n"/>
      <c r="G183" s="3" t="n"/>
      <c r="H183" s="3" t="n"/>
      <c r="I183" s="3" t="n"/>
      <c r="J183" s="3" t="n"/>
      <c r="K183" s="2" t="inlineStr">
        <is>
          <t>Y</t>
        </is>
      </c>
      <c r="L183" s="2" t="inlineStr">
        <is>
          <t>done</t>
        </is>
      </c>
      <c r="M183" s="3" t="inlineStr">
        <is>
          <t>transcripts\royal_enfield_super_meteor_650_astral.txt</t>
        </is>
      </c>
      <c r="N183" s="3" t="n"/>
      <c r="O183" s="3" t="n"/>
      <c r="P183" s="3" t="n"/>
      <c r="Q183" s="3" t="n"/>
      <c r="R183" s="3" t="n"/>
    </row>
    <row r="184">
      <c r="A184" s="2" t="inlineStr">
        <is>
          <t>royal_enfield_flying_flea_c6_standard</t>
        </is>
      </c>
      <c r="B184" s="3" t="n"/>
      <c r="C184" s="3" t="inlineStr">
        <is>
          <t>https://youtu.be/-45uWHQ7moU?si=yx4PwRGoV4socaSX</t>
        </is>
      </c>
      <c r="D184" s="3" t="n"/>
      <c r="E184" s="3" t="n"/>
      <c r="F184" s="3" t="n"/>
      <c r="G184" s="3" t="n"/>
      <c r="H184" s="3" t="n"/>
      <c r="I184" s="3" t="n"/>
      <c r="J184" s="3" t="n"/>
      <c r="K184" s="2" t="inlineStr">
        <is>
          <t>Y</t>
        </is>
      </c>
      <c r="L184" s="2" t="inlineStr">
        <is>
          <t>done</t>
        </is>
      </c>
      <c r="M184" s="3" t="inlineStr">
        <is>
          <t>transcripts\royal_enfield_flying_flea_c6_standard.txt</t>
        </is>
      </c>
      <c r="N184" s="3" t="n"/>
      <c r="O184" s="3" t="n"/>
      <c r="P184" s="3" t="n"/>
      <c r="Q184" s="3" t="n"/>
      <c r="R184" s="3" t="n"/>
    </row>
    <row r="185">
      <c r="A185" s="2" t="inlineStr">
        <is>
          <t>suzuki_gixxer_150_ride_connect_edition</t>
        </is>
      </c>
      <c r="B185" s="3" t="n"/>
      <c r="C185" s="3" t="inlineStr">
        <is>
          <t>https://youtu.be/psi-eclIJ_w?si=Sra3AdMzuAAFiIEV</t>
        </is>
      </c>
      <c r="D185" s="3" t="n"/>
      <c r="E185" s="3" t="n"/>
      <c r="F185" s="3" t="n"/>
      <c r="G185" s="3" t="n"/>
      <c r="H185" s="3" t="n"/>
      <c r="I185" s="3" t="n"/>
      <c r="J185" s="3" t="n"/>
      <c r="K185" s="2" t="inlineStr">
        <is>
          <t>Y</t>
        </is>
      </c>
      <c r="L185" s="2" t="inlineStr">
        <is>
          <t>done</t>
        </is>
      </c>
      <c r="M185" s="3" t="inlineStr">
        <is>
          <t>transcripts\suzuki_gixxer_150_ride_connect_edition.txt</t>
        </is>
      </c>
      <c r="N185" s="3" t="n"/>
      <c r="O185" s="3" t="n"/>
      <c r="P185" s="3" t="n"/>
      <c r="Q185" s="3" t="n"/>
      <c r="R185" s="3" t="n"/>
    </row>
    <row r="186">
      <c r="A186" s="2" t="inlineStr">
        <is>
          <t>suzuki_gixxer_250_ride_connect_edition</t>
        </is>
      </c>
      <c r="B186" s="3" t="n"/>
      <c r="C186" s="3" t="inlineStr">
        <is>
          <t>https://youtu.be/xU9K_BAgNIo?si=pb7k4eeuLlDJ9G_K</t>
        </is>
      </c>
      <c r="D186" s="3" t="n"/>
      <c r="E186" s="3" t="n"/>
      <c r="F186" s="3" t="n"/>
      <c r="G186" s="3" t="n"/>
      <c r="H186" s="3" t="n"/>
      <c r="I186" s="3" t="n"/>
      <c r="J186" s="3" t="n"/>
      <c r="K186" s="2" t="inlineStr">
        <is>
          <t>Y</t>
        </is>
      </c>
      <c r="L186" s="2" t="inlineStr">
        <is>
          <t>failed</t>
        </is>
      </c>
      <c r="M186" s="3" t="n"/>
      <c r="N186" s="3" t="n"/>
      <c r="O186" s="3" t="n"/>
      <c r="P186" s="3" t="n"/>
      <c r="Q186" s="3" t="n"/>
      <c r="R186" s="3" t="n"/>
    </row>
    <row r="187">
      <c r="A187" s="2" t="inlineStr">
        <is>
          <t>suzuki_gixxer_sf_150_ride_connect_edition</t>
        </is>
      </c>
      <c r="B187" s="3" t="n"/>
      <c r="C187" s="9" t="inlineStr">
        <is>
          <t>https://youtu.be/VuOTIctcX6E?si=B12m1kh1dD6QJFd8</t>
        </is>
      </c>
      <c r="D187" s="3" t="n"/>
      <c r="E187" s="3" t="n"/>
      <c r="F187" s="3" t="n"/>
      <c r="G187" s="3" t="n"/>
      <c r="H187" s="3" t="n"/>
      <c r="I187" s="3" t="n"/>
      <c r="J187" s="3" t="n"/>
      <c r="K187" s="2" t="inlineStr">
        <is>
          <t>Y</t>
        </is>
      </c>
      <c r="L187" s="2" t="inlineStr">
        <is>
          <t>done</t>
        </is>
      </c>
      <c r="M187" s="3" t="inlineStr">
        <is>
          <t>transcripts\suzuki_gixxer_sf_150_ride_connect_edition.txt</t>
        </is>
      </c>
      <c r="N187" s="3" t="n"/>
      <c r="O187" s="3" t="n"/>
      <c r="P187" s="3" t="n"/>
      <c r="Q187" s="3" t="n"/>
      <c r="R187" s="3" t="n"/>
    </row>
    <row r="188">
      <c r="A188" s="2" t="inlineStr">
        <is>
          <t>suzuki_gixxer_sf_250_ride_connect_edition</t>
        </is>
      </c>
      <c r="B188" s="3" t="n"/>
      <c r="C188" s="3" t="inlineStr">
        <is>
          <t>https://youtu.be/keZu1c_e8Jw?si=0KVQwpgyVkm1kvAu</t>
        </is>
      </c>
      <c r="D188" s="3" t="n"/>
      <c r="E188" s="3" t="n"/>
      <c r="F188" s="3" t="n"/>
      <c r="G188" s="3" t="n"/>
      <c r="H188" s="3" t="n"/>
      <c r="I188" s="3" t="n"/>
      <c r="J188" s="3" t="n"/>
      <c r="K188" s="2" t="inlineStr">
        <is>
          <t>Y</t>
        </is>
      </c>
      <c r="L188" s="2" t="inlineStr">
        <is>
          <t>done</t>
        </is>
      </c>
      <c r="M188" s="3" t="inlineStr">
        <is>
          <t>transcripts\suzuki_gixxer_sf_250_ride_connect_edition.txt</t>
        </is>
      </c>
      <c r="N188" s="3" t="n"/>
      <c r="O188" s="3" t="n"/>
      <c r="P188" s="3" t="n"/>
      <c r="Q188" s="3" t="n"/>
      <c r="R188" s="3" t="n"/>
    </row>
    <row r="189">
      <c r="A189" s="2" t="inlineStr">
        <is>
          <t>suzuki_v_strom_sx_250_standard</t>
        </is>
      </c>
      <c r="B189" s="3" t="n"/>
      <c r="C189" s="3" t="inlineStr">
        <is>
          <t>https://youtu.be/1p6b8vbE4Uk?si=WG9row58nxRT3nGp</t>
        </is>
      </c>
      <c r="D189" s="3" t="n"/>
      <c r="E189" s="3" t="n"/>
      <c r="F189" s="3" t="n"/>
      <c r="G189" s="3" t="n"/>
      <c r="H189" s="3" t="n"/>
      <c r="I189" s="3" t="n"/>
      <c r="J189" s="3" t="n"/>
      <c r="K189" s="2" t="inlineStr">
        <is>
          <t>Y</t>
        </is>
      </c>
      <c r="L189" s="2" t="inlineStr">
        <is>
          <t>done</t>
        </is>
      </c>
      <c r="M189" s="3" t="inlineStr">
        <is>
          <t>transcripts\suzuki_v_strom_sx_250_standard.txt</t>
        </is>
      </c>
      <c r="N189" s="3" t="n"/>
      <c r="O189" s="3" t="n"/>
      <c r="P189" s="3" t="n"/>
      <c r="Q189" s="3" t="n"/>
      <c r="R189" s="3" t="n"/>
    </row>
    <row r="190">
      <c r="A190" s="2" t="inlineStr">
        <is>
          <t>suzuki_hayabusa_standard</t>
        </is>
      </c>
      <c r="B190" s="3" t="n"/>
      <c r="C190" s="3" t="inlineStr">
        <is>
          <t>https://youtu.be/ml6U8kwtn8g?si=_-Mv8lX1Z3SBdeDJ</t>
        </is>
      </c>
      <c r="D190" s="3" t="n"/>
      <c r="E190" s="3" t="n"/>
      <c r="F190" s="3" t="n"/>
      <c r="G190" s="3" t="n"/>
      <c r="H190" s="3" t="n"/>
      <c r="I190" s="3" t="n"/>
      <c r="J190" s="3" t="n"/>
      <c r="K190" s="2" t="inlineStr">
        <is>
          <t>Y</t>
        </is>
      </c>
      <c r="L190" s="2" t="inlineStr">
        <is>
          <t>done</t>
        </is>
      </c>
      <c r="M190" s="3" t="inlineStr">
        <is>
          <t>transcripts\suzuki_hayabusa_standard.txt</t>
        </is>
      </c>
      <c r="N190" s="3" t="n"/>
      <c r="O190" s="3" t="n"/>
      <c r="P190" s="3" t="n"/>
      <c r="Q190" s="3" t="n"/>
      <c r="R190" s="3" t="n"/>
    </row>
    <row r="191">
      <c r="A191" s="2" t="inlineStr">
        <is>
          <t>suzuki_v_strom_800de_standard</t>
        </is>
      </c>
      <c r="B191" s="3" t="n"/>
      <c r="C191" s="3" t="inlineStr">
        <is>
          <t>https://youtu.be/nPaFyUu8pJM?si=klaYhMInhmHrrUcy</t>
        </is>
      </c>
      <c r="D191" s="3" t="n"/>
      <c r="E191" s="3" t="n"/>
      <c r="F191" s="3" t="n"/>
      <c r="G191" s="3" t="n"/>
      <c r="H191" s="3" t="n"/>
      <c r="I191" s="3" t="n"/>
      <c r="J191" s="3" t="n"/>
      <c r="K191" s="2" t="inlineStr">
        <is>
          <t>Y</t>
        </is>
      </c>
      <c r="L191" s="2" t="inlineStr">
        <is>
          <t>done</t>
        </is>
      </c>
      <c r="M191" s="3" t="inlineStr">
        <is>
          <t>transcripts\suzuki_v_strom_800de_standard.txt</t>
        </is>
      </c>
      <c r="N191" s="3" t="n"/>
      <c r="O191" s="3" t="n"/>
      <c r="P191" s="3" t="n"/>
      <c r="Q191" s="3" t="n"/>
      <c r="R191" s="3" t="n"/>
    </row>
    <row r="192">
      <c r="A192" s="2" t="inlineStr">
        <is>
          <t>suzuki_gsx_8r_standard</t>
        </is>
      </c>
      <c r="B192" s="3" t="n"/>
      <c r="C192" s="3" t="inlineStr">
        <is>
          <t>https://youtu.be/_zv81Q_ibhQ?si=N94hV6ehlr-gM1Zf</t>
        </is>
      </c>
      <c r="D192" s="3" t="n"/>
      <c r="E192" s="3" t="n"/>
      <c r="F192" s="3" t="n"/>
      <c r="G192" s="3" t="n"/>
      <c r="H192" s="3" t="n"/>
      <c r="I192" s="3" t="n"/>
      <c r="J192" s="3" t="n"/>
      <c r="K192" s="2" t="inlineStr">
        <is>
          <t>Y</t>
        </is>
      </c>
      <c r="L192" s="2" t="inlineStr">
        <is>
          <t>done</t>
        </is>
      </c>
      <c r="M192" s="3" t="inlineStr">
        <is>
          <t>transcripts\suzuki_gsx_8r_standard.txt</t>
        </is>
      </c>
      <c r="N192" s="3" t="n"/>
      <c r="O192" s="3" t="n"/>
      <c r="P192" s="3" t="n"/>
      <c r="Q192" s="3" t="n"/>
      <c r="R192" s="3" t="n"/>
    </row>
    <row r="193">
      <c r="A193" s="2" t="inlineStr">
        <is>
          <t>suzuki_access_125_ride_connect_edition</t>
        </is>
      </c>
      <c r="B193" s="3" t="n"/>
      <c r="C193" s="3" t="inlineStr">
        <is>
          <t>https://youtu.be/VjHCZppUiEE?si=16nGhAB7jEDJ8nhH</t>
        </is>
      </c>
      <c r="D193" s="3" t="n"/>
      <c r="E193" s="3" t="n"/>
      <c r="F193" s="3" t="n"/>
      <c r="G193" s="3" t="n"/>
      <c r="H193" s="3" t="n"/>
      <c r="I193" s="3" t="n"/>
      <c r="J193" s="3" t="n"/>
      <c r="K193" s="2" t="inlineStr">
        <is>
          <t>Y</t>
        </is>
      </c>
      <c r="L193" s="2" t="inlineStr">
        <is>
          <t>done</t>
        </is>
      </c>
      <c r="M193" s="3" t="inlineStr">
        <is>
          <t>transcripts\suzuki_access_125_ride_connect_edition.txt</t>
        </is>
      </c>
      <c r="N193" s="3" t="n"/>
      <c r="O193" s="3" t="n"/>
      <c r="P193" s="3" t="n"/>
      <c r="Q193" s="3" t="n"/>
      <c r="R193" s="3" t="n"/>
    </row>
    <row r="194">
      <c r="A194" s="2" t="inlineStr">
        <is>
          <t>suzuki_avenis_125_race_edition</t>
        </is>
      </c>
      <c r="B194" s="3" t="n"/>
      <c r="C194" s="3" t="inlineStr">
        <is>
          <t>https://youtu.be/3inXRY-MLq4?si=D4M8nxcj0hFo1DI7</t>
        </is>
      </c>
      <c r="D194" s="3" t="n"/>
      <c r="E194" s="3" t="n"/>
      <c r="F194" s="3" t="n"/>
      <c r="G194" s="3" t="n"/>
      <c r="H194" s="3" t="n"/>
      <c r="I194" s="3" t="n"/>
      <c r="J194" s="3" t="n"/>
      <c r="K194" s="2" t="inlineStr">
        <is>
          <t>Y</t>
        </is>
      </c>
      <c r="L194" s="2" t="inlineStr">
        <is>
          <t>done</t>
        </is>
      </c>
      <c r="M194" s="3" t="inlineStr">
        <is>
          <t>transcripts\suzuki_avenis_125_race_edition.txt</t>
        </is>
      </c>
      <c r="N194" s="3" t="n"/>
      <c r="O194" s="3" t="n"/>
      <c r="P194" s="3" t="n"/>
      <c r="Q194" s="3" t="n"/>
      <c r="R194" s="3" t="n"/>
    </row>
    <row r="195">
      <c r="A195" s="2" t="inlineStr">
        <is>
          <t>suzuki_burgman_street_125_ride_connect_edition</t>
        </is>
      </c>
      <c r="B195" s="3" t="n"/>
      <c r="C195" s="3" t="inlineStr">
        <is>
          <t>https://youtu.be/AvVyRG0H8z0?si=n9KalPT4mymVbdxR</t>
        </is>
      </c>
      <c r="D195" s="3" t="n"/>
      <c r="E195" s="3" t="n"/>
      <c r="F195" s="3" t="n"/>
      <c r="G195" s="3" t="n"/>
      <c r="H195" s="3" t="n"/>
      <c r="I195" s="3" t="n"/>
      <c r="J195" s="3" t="n"/>
      <c r="K195" s="2" t="inlineStr">
        <is>
          <t>Y</t>
        </is>
      </c>
      <c r="L195" s="2" t="inlineStr">
        <is>
          <t>done</t>
        </is>
      </c>
      <c r="M195" s="3" t="inlineStr">
        <is>
          <t>transcripts\suzuki_burgman_street_125_ride_connect_edition.txt</t>
        </is>
      </c>
      <c r="N195" s="3" t="n"/>
      <c r="O195" s="3" t="n"/>
      <c r="P195" s="3" t="n"/>
      <c r="Q195" s="3" t="n"/>
      <c r="R195" s="3" t="n"/>
    </row>
    <row r="196">
      <c r="A196" s="2" t="inlineStr">
        <is>
          <t>triumph_speed_t4_standard</t>
        </is>
      </c>
      <c r="B196" s="3" t="n"/>
      <c r="C196" s="3" t="inlineStr">
        <is>
          <t>https://youtu.be/aRj8QaacoF8?si=hBo5hKC6SrgosBnh</t>
        </is>
      </c>
      <c r="D196" s="3" t="n"/>
      <c r="E196" s="3" t="n"/>
      <c r="F196" s="3" t="n"/>
      <c r="G196" s="3" t="n"/>
      <c r="H196" s="3" t="n"/>
      <c r="I196" s="3" t="n"/>
      <c r="J196" s="3" t="n"/>
      <c r="K196" s="2" t="inlineStr">
        <is>
          <t>Y</t>
        </is>
      </c>
      <c r="L196" s="2" t="inlineStr">
        <is>
          <t>done</t>
        </is>
      </c>
      <c r="M196" s="3" t="inlineStr">
        <is>
          <t>transcripts\triumph_speed_t4_standard.txt</t>
        </is>
      </c>
      <c r="N196" s="3" t="n"/>
      <c r="O196" s="3" t="n"/>
      <c r="P196" s="3" t="n"/>
      <c r="Q196" s="3" t="n"/>
      <c r="R196" s="3" t="n"/>
    </row>
    <row r="197">
      <c r="A197" s="2" t="inlineStr">
        <is>
          <t>triumph_speed_400_standard</t>
        </is>
      </c>
      <c r="B197" s="3" t="n"/>
      <c r="C197" s="3" t="inlineStr">
        <is>
          <t>https://youtu.be/-ZPMKHcqIR8?si=uenBbn11SMwSBUdr</t>
        </is>
      </c>
      <c r="D197" s="3" t="n"/>
      <c r="E197" s="3" t="n"/>
      <c r="F197" s="3" t="n"/>
      <c r="G197" s="3" t="n"/>
      <c r="H197" s="3" t="n"/>
      <c r="I197" s="3" t="n"/>
      <c r="J197" s="3" t="n"/>
      <c r="K197" s="2" t="inlineStr">
        <is>
          <t>Y</t>
        </is>
      </c>
      <c r="L197" s="2" t="inlineStr">
        <is>
          <t>done</t>
        </is>
      </c>
      <c r="M197" s="3" t="inlineStr">
        <is>
          <t>transcripts\triumph_speed_400_standard.txt</t>
        </is>
      </c>
      <c r="N197" s="3" t="n"/>
      <c r="O197" s="3" t="n"/>
      <c r="P197" s="3" t="n"/>
      <c r="Q197" s="3" t="n"/>
      <c r="R197" s="3" t="n"/>
    </row>
    <row r="198">
      <c r="A198" s="2" t="inlineStr">
        <is>
          <t>triumph_scrambler_400_x_standard</t>
        </is>
      </c>
      <c r="B198" s="3" t="n"/>
      <c r="C198" s="3" t="inlineStr">
        <is>
          <t>https://youtu.be/R5Tch9TZwsw?si=SLtwiaUMz3PkAr-n</t>
        </is>
      </c>
      <c r="D198" s="3" t="n"/>
      <c r="E198" s="3" t="n"/>
      <c r="F198" s="3" t="n"/>
      <c r="G198" s="3" t="n"/>
      <c r="H198" s="3" t="n"/>
      <c r="I198" s="3" t="n"/>
      <c r="J198" s="3" t="n"/>
      <c r="K198" s="2" t="inlineStr">
        <is>
          <t>Y</t>
        </is>
      </c>
      <c r="L198" s="2" t="inlineStr">
        <is>
          <t>done</t>
        </is>
      </c>
      <c r="M198" s="3" t="inlineStr">
        <is>
          <t>transcripts\triumph_scrambler_400_x_standard.txt</t>
        </is>
      </c>
      <c r="N198" s="3" t="n"/>
      <c r="O198" s="3" t="n"/>
      <c r="P198" s="3" t="n"/>
      <c r="Q198" s="3" t="n"/>
      <c r="R198" s="3" t="n"/>
    </row>
    <row r="199">
      <c r="A199" s="2" t="inlineStr">
        <is>
          <t>triumph_trident_660_standard</t>
        </is>
      </c>
      <c r="B199" s="3" t="n"/>
      <c r="C199" s="3" t="inlineStr">
        <is>
          <t>https://youtu.be/4YKgQ_yTXWg?si=xEH3KZKxA29cVRso</t>
        </is>
      </c>
      <c r="D199" s="3" t="n"/>
      <c r="E199" s="3" t="n"/>
      <c r="F199" s="3" t="n"/>
      <c r="G199" s="3" t="n"/>
      <c r="H199" s="3" t="n"/>
      <c r="I199" s="3" t="n"/>
      <c r="J199" s="3" t="n"/>
      <c r="K199" s="2" t="inlineStr">
        <is>
          <t>Y</t>
        </is>
      </c>
      <c r="L199" s="2" t="inlineStr">
        <is>
          <t>done</t>
        </is>
      </c>
      <c r="M199" s="3" t="inlineStr">
        <is>
          <t>transcripts\triumph_trident_660_standard.txt</t>
        </is>
      </c>
      <c r="N199" s="3" t="n"/>
      <c r="O199" s="3" t="n"/>
      <c r="P199" s="3" t="n"/>
      <c r="Q199" s="3" t="n"/>
      <c r="R199" s="3" t="n"/>
    </row>
    <row r="200">
      <c r="A200" s="2" t="inlineStr">
        <is>
          <t>triumph_tiger_sport_660_standard</t>
        </is>
      </c>
      <c r="B200" s="3" t="n"/>
      <c r="C200" s="3" t="inlineStr">
        <is>
          <t>https://youtu.be/CRfxj7AxPmI?si=HbyW2hxtKHjlvpi9</t>
        </is>
      </c>
      <c r="D200" s="3" t="n"/>
      <c r="E200" s="3" t="n"/>
      <c r="F200" s="3" t="n"/>
      <c r="G200" s="3" t="n"/>
      <c r="H200" s="3" t="n"/>
      <c r="I200" s="3" t="n"/>
      <c r="J200" s="3" t="n"/>
      <c r="K200" s="2" t="inlineStr">
        <is>
          <t>Y</t>
        </is>
      </c>
      <c r="L200" s="2" t="inlineStr">
        <is>
          <t>done</t>
        </is>
      </c>
      <c r="M200" s="3" t="inlineStr">
        <is>
          <t>transcripts\triumph_tiger_sport_660_standard.txt</t>
        </is>
      </c>
      <c r="N200" s="3" t="n"/>
      <c r="O200" s="3" t="n"/>
      <c r="P200" s="3" t="n"/>
      <c r="Q200" s="3" t="n"/>
      <c r="R200" s="3" t="n"/>
    </row>
    <row r="201">
      <c r="A201" s="2" t="inlineStr">
        <is>
          <t>triumph_street_triple_r_standard</t>
        </is>
      </c>
      <c r="B201" s="3" t="n"/>
      <c r="C201" s="3" t="inlineStr">
        <is>
          <t>https://youtu.be/HxBUmiomM1c?si=fWRbzfmsKusLPIvO</t>
        </is>
      </c>
      <c r="D201" s="3" t="n"/>
      <c r="E201" s="3" t="n"/>
      <c r="F201" s="3" t="n"/>
      <c r="G201" s="3" t="n"/>
      <c r="H201" s="3" t="n"/>
      <c r="I201" s="3" t="n"/>
      <c r="J201" s="3" t="n"/>
      <c r="K201" s="2" t="inlineStr">
        <is>
          <t>Y</t>
        </is>
      </c>
      <c r="L201" s="2" t="inlineStr">
        <is>
          <t>done</t>
        </is>
      </c>
      <c r="M201" s="3" t="inlineStr">
        <is>
          <t>transcripts\triumph_street_triple_r_standard.txt</t>
        </is>
      </c>
      <c r="N201" s="3" t="n"/>
      <c r="O201" s="3" t="n"/>
      <c r="P201" s="3" t="n"/>
      <c r="Q201" s="3" t="n"/>
      <c r="R201" s="3" t="n"/>
    </row>
    <row r="202">
      <c r="A202" s="2" t="inlineStr">
        <is>
          <t>triumph_street_triple_rs_standard</t>
        </is>
      </c>
      <c r="B202" s="3" t="n"/>
      <c r="C202" s="3" t="inlineStr">
        <is>
          <t>https://youtu.be/zQsytIZ6Yzg?si=RxViMwZ4BPIJCH-J</t>
        </is>
      </c>
      <c r="D202" s="3" t="n"/>
      <c r="E202" s="3" t="n"/>
      <c r="F202" s="3" t="n"/>
      <c r="G202" s="3" t="n"/>
      <c r="H202" s="3" t="n"/>
      <c r="I202" s="3" t="n"/>
      <c r="J202" s="3" t="n"/>
      <c r="K202" s="2" t="inlineStr">
        <is>
          <t>Y</t>
        </is>
      </c>
      <c r="L202" s="2" t="inlineStr">
        <is>
          <t>done</t>
        </is>
      </c>
      <c r="M202" s="3" t="inlineStr">
        <is>
          <t>transcripts\triumph_street_triple_rs_standard.txt</t>
        </is>
      </c>
      <c r="N202" s="3" t="n"/>
      <c r="O202" s="3" t="n"/>
      <c r="P202" s="3" t="n"/>
      <c r="Q202" s="3" t="n"/>
      <c r="R202" s="3" t="n"/>
    </row>
    <row r="203">
      <c r="A203" s="2" t="inlineStr">
        <is>
          <t>triumph_tiger_900_gt_pro</t>
        </is>
      </c>
      <c r="B203" s="3" t="n"/>
      <c r="C203" s="3" t="inlineStr">
        <is>
          <t>https://youtu.be/i89hAnxJpI8?si=79VRjeAqMooH8RuU</t>
        </is>
      </c>
      <c r="D203" s="3" t="n"/>
      <c r="E203" s="3" t="n"/>
      <c r="F203" s="3" t="n"/>
      <c r="G203" s="3" t="n"/>
      <c r="H203" s="3" t="n"/>
      <c r="I203" s="3" t="n"/>
      <c r="J203" s="3" t="n"/>
      <c r="K203" s="2" t="inlineStr">
        <is>
          <t>Y</t>
        </is>
      </c>
      <c r="L203" s="2" t="inlineStr">
        <is>
          <t>done</t>
        </is>
      </c>
      <c r="M203" s="3" t="inlineStr">
        <is>
          <t>transcripts\triumph_tiger_900_gt_pro.txt</t>
        </is>
      </c>
      <c r="N203" s="3" t="n"/>
      <c r="O203" s="3" t="n"/>
      <c r="P203" s="3" t="n"/>
      <c r="Q203" s="3" t="n"/>
      <c r="R203" s="3" t="n"/>
    </row>
    <row r="204">
      <c r="A204" s="2" t="inlineStr">
        <is>
          <t>triumph_tiger_1200_gt_pro</t>
        </is>
      </c>
      <c r="B204" s="3" t="n"/>
      <c r="C204" s="3" t="inlineStr">
        <is>
          <t>https://youtu.be/OHOUASo4oX4?si=l1QGwN1c27NEhfsB</t>
        </is>
      </c>
      <c r="D204" s="3" t="n"/>
      <c r="E204" s="3" t="n"/>
      <c r="F204" s="3" t="n"/>
      <c r="G204" s="3" t="n"/>
      <c r="H204" s="3" t="n"/>
      <c r="I204" s="3" t="n"/>
      <c r="J204" s="3" t="n"/>
      <c r="K204" s="2" t="inlineStr">
        <is>
          <t>Y</t>
        </is>
      </c>
      <c r="L204" s="2" t="inlineStr">
        <is>
          <t>done</t>
        </is>
      </c>
      <c r="M204" s="3" t="inlineStr">
        <is>
          <t>transcripts\triumph_tiger_1200_gt_pro.txt</t>
        </is>
      </c>
      <c r="N204" s="3" t="n"/>
      <c r="O204" s="3" t="n"/>
      <c r="P204" s="3" t="n"/>
      <c r="Q204" s="3" t="n"/>
      <c r="R204" s="3" t="n"/>
    </row>
    <row r="205">
      <c r="A205" s="2" t="inlineStr">
        <is>
          <t>triumph_speed_twin_900_standard</t>
        </is>
      </c>
      <c r="B205" s="3" t="n"/>
      <c r="C205" s="3" t="inlineStr">
        <is>
          <t>https://youtu.be/JGcehGrIHl8?si=g4EyzEGom0JudPZw</t>
        </is>
      </c>
      <c r="D205" s="3" t="n"/>
      <c r="E205" s="3" t="n"/>
      <c r="F205" s="3" t="n"/>
      <c r="G205" s="3" t="n"/>
      <c r="H205" s="3" t="n"/>
      <c r="I205" s="3" t="n"/>
      <c r="J205" s="3" t="n"/>
      <c r="K205" s="2" t="inlineStr">
        <is>
          <t>Y</t>
        </is>
      </c>
      <c r="L205" s="2" t="inlineStr">
        <is>
          <t>done</t>
        </is>
      </c>
      <c r="M205" s="3" t="inlineStr">
        <is>
          <t>transcripts\triumph_speed_twin_900_standard.txt</t>
        </is>
      </c>
      <c r="N205" s="3" t="n"/>
      <c r="O205" s="3" t="n"/>
      <c r="P205" s="3" t="n"/>
      <c r="Q205" s="3" t="n"/>
      <c r="R205" s="3" t="n"/>
    </row>
    <row r="206">
      <c r="A206" s="2" t="inlineStr">
        <is>
          <t>triumph_speed_twin_1200_standard</t>
        </is>
      </c>
      <c r="B206" s="3" t="n"/>
      <c r="C206" s="3" t="inlineStr">
        <is>
          <t>https://youtu.be/xTkddvmj3Eg?si=xxtYmuGTiAqvDL0S</t>
        </is>
      </c>
      <c r="D206" s="3" t="n"/>
      <c r="E206" s="3" t="n"/>
      <c r="F206" s="3" t="n"/>
      <c r="G206" s="3" t="n"/>
      <c r="H206" s="3" t="n"/>
      <c r="I206" s="3" t="n"/>
      <c r="J206" s="3" t="n"/>
      <c r="K206" s="2" t="inlineStr">
        <is>
          <t>Y</t>
        </is>
      </c>
      <c r="L206" s="2" t="inlineStr">
        <is>
          <t>done</t>
        </is>
      </c>
      <c r="M206" s="3" t="inlineStr">
        <is>
          <t>transcripts\triumph_speed_twin_1200_standard.txt</t>
        </is>
      </c>
      <c r="N206" s="3" t="n"/>
      <c r="O206" s="3" t="n"/>
      <c r="P206" s="3" t="n"/>
      <c r="Q206" s="3" t="n"/>
      <c r="R206" s="3" t="n"/>
    </row>
    <row r="207">
      <c r="A207" s="2" t="inlineStr">
        <is>
          <t>triumph_bonneville_t100_standard</t>
        </is>
      </c>
      <c r="B207" s="3" t="n"/>
      <c r="C207" s="3" t="inlineStr">
        <is>
          <t>https://youtu.be/CMwl97Mt1C4?si=2_1TFVjasYeYyjiQ</t>
        </is>
      </c>
      <c r="D207" s="3" t="n"/>
      <c r="E207" s="3" t="n"/>
      <c r="F207" s="3" t="n"/>
      <c r="G207" s="3" t="n"/>
      <c r="H207" s="3" t="n"/>
      <c r="I207" s="3" t="n"/>
      <c r="J207" s="3" t="n"/>
      <c r="K207" s="2" t="inlineStr">
        <is>
          <t>Y</t>
        </is>
      </c>
      <c r="L207" s="2" t="inlineStr">
        <is>
          <t>done</t>
        </is>
      </c>
      <c r="M207" s="3" t="inlineStr">
        <is>
          <t>transcripts\triumph_bonneville_t100_standard.txt</t>
        </is>
      </c>
      <c r="N207" s="3" t="n"/>
      <c r="O207" s="3" t="n"/>
      <c r="P207" s="3" t="n"/>
      <c r="Q207" s="3" t="n"/>
      <c r="R207" s="3" t="n"/>
    </row>
    <row r="208">
      <c r="A208" s="2" t="inlineStr">
        <is>
          <t>triumph_bonneville_t120_standard</t>
        </is>
      </c>
      <c r="B208" s="3" t="n"/>
      <c r="C208" s="3" t="inlineStr">
        <is>
          <t>https://youtu.be/dGbMJ1eYKAU?si=hJAhg1skap5MYaD3</t>
        </is>
      </c>
      <c r="D208" s="3" t="n"/>
      <c r="E208" s="3" t="n"/>
      <c r="F208" s="3" t="n"/>
      <c r="G208" s="3" t="n"/>
      <c r="H208" s="3" t="n"/>
      <c r="I208" s="3" t="n"/>
      <c r="J208" s="3" t="n"/>
      <c r="K208" s="2" t="inlineStr">
        <is>
          <t>Y</t>
        </is>
      </c>
      <c r="L208" s="2" t="inlineStr">
        <is>
          <t>failed</t>
        </is>
      </c>
      <c r="M208" s="3" t="n"/>
      <c r="N208" s="3" t="n"/>
      <c r="O208" s="3" t="n"/>
      <c r="P208" s="3" t="n"/>
      <c r="Q208" s="3" t="n"/>
      <c r="R208" s="3" t="n"/>
    </row>
    <row r="209">
      <c r="A209" s="2" t="inlineStr">
        <is>
          <t>triumph_rocket_3_r</t>
        </is>
      </c>
      <c r="B209" s="3" t="n"/>
      <c r="C209" s="3" t="inlineStr">
        <is>
          <t>https://youtu.be/SW0FCwwvTWE?si=x_g5sQkFWXP1TYFC</t>
        </is>
      </c>
      <c r="D209" s="3" t="n"/>
      <c r="E209" s="3" t="n"/>
      <c r="F209" s="3" t="n"/>
      <c r="G209" s="3" t="n"/>
      <c r="H209" s="3" t="n"/>
      <c r="I209" s="3" t="n"/>
      <c r="J209" s="3" t="n"/>
      <c r="K209" s="2" t="inlineStr">
        <is>
          <t>Y</t>
        </is>
      </c>
      <c r="L209" s="2" t="inlineStr">
        <is>
          <t>done</t>
        </is>
      </c>
      <c r="M209" s="3" t="inlineStr">
        <is>
          <t>transcripts\triumph_rocket_3_r.txt</t>
        </is>
      </c>
      <c r="N209" s="3" t="n"/>
      <c r="O209" s="3" t="n"/>
      <c r="P209" s="3" t="n"/>
      <c r="Q209" s="3" t="n"/>
      <c r="R209" s="3" t="n"/>
    </row>
    <row r="210">
      <c r="A210" s="2" t="inlineStr">
        <is>
          <t>tvs_xl100_heavy_duty_i_touchstart</t>
        </is>
      </c>
      <c r="B210" s="3" t="n"/>
      <c r="C210" s="3" t="inlineStr">
        <is>
          <t>https://youtu.be/9aNbaA2ObqY?si=FMgssYNhyiP9xZtm</t>
        </is>
      </c>
      <c r="D210" s="3" t="n"/>
      <c r="E210" s="3" t="n"/>
      <c r="F210" s="3" t="n"/>
      <c r="G210" s="3" t="n"/>
      <c r="H210" s="3" t="n"/>
      <c r="I210" s="3" t="n"/>
      <c r="J210" s="3" t="n"/>
      <c r="K210" s="2" t="inlineStr">
        <is>
          <t>Y</t>
        </is>
      </c>
      <c r="L210" s="2" t="inlineStr">
        <is>
          <t>done</t>
        </is>
      </c>
      <c r="M210" s="3" t="inlineStr">
        <is>
          <t>transcripts\tvs_xl100_heavy_duty_i_touchstart.txt</t>
        </is>
      </c>
      <c r="N210" s="3" t="n"/>
      <c r="O210" s="3" t="n"/>
      <c r="P210" s="3" t="n"/>
      <c r="Q210" s="3" t="n"/>
      <c r="R210" s="3" t="n"/>
    </row>
    <row r="211">
      <c r="A211" s="2" t="inlineStr">
        <is>
          <t>tvs_sport_self_start_es</t>
        </is>
      </c>
      <c r="B211" s="3" t="n"/>
      <c r="C211" s="3" t="inlineStr">
        <is>
          <t>https://youtu.be/PoS3o0FI-Pw?si=nq6rkRCgGyLf-TXv</t>
        </is>
      </c>
      <c r="D211" s="3" t="n"/>
      <c r="E211" s="3" t="n"/>
      <c r="F211" s="3" t="n"/>
      <c r="G211" s="3" t="n"/>
      <c r="H211" s="3" t="n"/>
      <c r="I211" s="3" t="n"/>
      <c r="J211" s="3" t="n"/>
      <c r="K211" s="2" t="inlineStr">
        <is>
          <t>Y</t>
        </is>
      </c>
      <c r="L211" s="2" t="inlineStr">
        <is>
          <t>failed</t>
        </is>
      </c>
      <c r="M211" s="3" t="n"/>
      <c r="N211" s="3" t="n"/>
      <c r="O211" s="3" t="n"/>
      <c r="P211" s="3" t="n"/>
      <c r="Q211" s="3" t="n"/>
      <c r="R211" s="3" t="n"/>
    </row>
    <row r="212">
      <c r="A212" s="2" t="inlineStr">
        <is>
          <t>tvs_radeon_base_drum</t>
        </is>
      </c>
      <c r="B212" s="3" t="n"/>
      <c r="C212" s="3" t="inlineStr">
        <is>
          <t>https://youtu.be/v4NWrqxuof0?si=4waA1vK2k701QzQ5</t>
        </is>
      </c>
      <c r="D212" s="3" t="n"/>
      <c r="E212" s="3" t="n"/>
      <c r="F212" s="3" t="n"/>
      <c r="G212" s="3" t="n"/>
      <c r="H212" s="3" t="n"/>
      <c r="I212" s="3" t="n"/>
      <c r="J212" s="3" t="n"/>
      <c r="K212" s="2" t="inlineStr">
        <is>
          <t>Y</t>
        </is>
      </c>
      <c r="L212" s="2" t="inlineStr">
        <is>
          <t>done</t>
        </is>
      </c>
      <c r="M212" s="3" t="inlineStr">
        <is>
          <t>transcripts\tvs_radeon_base_drum.txt</t>
        </is>
      </c>
      <c r="N212" s="3" t="n"/>
      <c r="O212" s="3" t="n"/>
      <c r="P212" s="3" t="n"/>
      <c r="Q212" s="3" t="n"/>
      <c r="R212" s="3" t="n"/>
    </row>
    <row r="213">
      <c r="A213" s="2" t="inlineStr">
        <is>
          <t>tvs_star_city_plus_drum</t>
        </is>
      </c>
      <c r="B213" s="3" t="n"/>
      <c r="C213" s="3" t="inlineStr">
        <is>
          <t>https://youtu.be/EgER3jppgCQ?si=giHp7_sxg0b1zEDu</t>
        </is>
      </c>
      <c r="D213" s="3" t="n"/>
      <c r="E213" s="3" t="n"/>
      <c r="F213" s="3" t="n"/>
      <c r="G213" s="3" t="n"/>
      <c r="H213" s="3" t="n"/>
      <c r="I213" s="3" t="n"/>
      <c r="J213" s="3" t="n"/>
      <c r="K213" s="2" t="inlineStr">
        <is>
          <t>Y</t>
        </is>
      </c>
      <c r="L213" s="2" t="inlineStr">
        <is>
          <t>failed</t>
        </is>
      </c>
      <c r="M213" s="3" t="n"/>
      <c r="N213" s="3" t="n"/>
      <c r="O213" s="3" t="n"/>
      <c r="P213" s="3" t="n"/>
      <c r="Q213" s="3" t="n"/>
      <c r="R213" s="3" t="n"/>
    </row>
    <row r="214">
      <c r="A214" s="2" t="inlineStr">
        <is>
          <t>tvs_raider_125_single_seat</t>
        </is>
      </c>
      <c r="B214" s="3" t="n"/>
      <c r="C214" s="3" t="inlineStr">
        <is>
          <t>https://youtu.be/24YNpSmV1Wg?si=xHqNvLPSWWfYZ5W8</t>
        </is>
      </c>
      <c r="D214" s="3" t="n"/>
      <c r="E214" s="3" t="n"/>
      <c r="F214" s="3" t="n"/>
      <c r="G214" s="3" t="n"/>
      <c r="H214" s="3" t="n"/>
      <c r="I214" s="3" t="n"/>
      <c r="J214" s="3" t="n"/>
      <c r="K214" s="2" t="inlineStr">
        <is>
          <t>Y</t>
        </is>
      </c>
      <c r="L214" s="2" t="inlineStr">
        <is>
          <t>done</t>
        </is>
      </c>
      <c r="M214" s="3" t="inlineStr">
        <is>
          <t>transcripts\tvs_raider_125_single_seat.txt</t>
        </is>
      </c>
      <c r="N214" s="3" t="n"/>
      <c r="O214" s="3" t="n"/>
      <c r="P214" s="3" t="n"/>
      <c r="Q214" s="3" t="n"/>
      <c r="R214" s="3" t="n"/>
    </row>
    <row r="215">
      <c r="A215" s="2" t="inlineStr">
        <is>
          <t>tvs_apache_rtr_160_rm_drum</t>
        </is>
      </c>
      <c r="B215" s="3" t="n"/>
      <c r="C215" s="9" t="inlineStr">
        <is>
          <t>https://youtu.be/4vv6FjFP7ys?si=UAv0HWXVAqlU7AWV</t>
        </is>
      </c>
      <c r="D215" s="3" t="n"/>
      <c r="E215" s="3" t="n"/>
      <c r="F215" s="3" t="n"/>
      <c r="G215" s="3" t="n"/>
      <c r="H215" s="3" t="n"/>
      <c r="I215" s="3" t="n"/>
      <c r="J215" s="3" t="n"/>
      <c r="K215" s="2" t="inlineStr">
        <is>
          <t>Y</t>
        </is>
      </c>
      <c r="L215" s="2" t="inlineStr">
        <is>
          <t>done</t>
        </is>
      </c>
      <c r="M215" s="3" t="inlineStr">
        <is>
          <t>transcripts\tvs_apache_rtr_160_rm_drum.txt</t>
        </is>
      </c>
      <c r="N215" s="3" t="n"/>
      <c r="O215" s="3" t="n"/>
      <c r="P215" s="3" t="n"/>
      <c r="Q215" s="3" t="n"/>
      <c r="R215" s="3" t="n"/>
    </row>
    <row r="216">
      <c r="A216" s="2" t="inlineStr">
        <is>
          <t>tvs_apache_rtr_160_4v_special_edition</t>
        </is>
      </c>
      <c r="B216" s="3" t="n"/>
      <c r="C216" s="3" t="inlineStr">
        <is>
          <t>https://youtu.be/3gnD0dqXpmE?si=9eFOW8GdzKqphGEm</t>
        </is>
      </c>
      <c r="D216" s="3" t="n"/>
      <c r="E216" s="3" t="n"/>
      <c r="F216" s="3" t="n"/>
      <c r="G216" s="3" t="n"/>
      <c r="H216" s="3" t="n"/>
      <c r="I216" s="3" t="n"/>
      <c r="J216" s="3" t="n"/>
      <c r="K216" s="2" t="inlineStr">
        <is>
          <t>Y</t>
        </is>
      </c>
      <c r="L216" s="2" t="inlineStr">
        <is>
          <t>done</t>
        </is>
      </c>
      <c r="M216" s="3" t="inlineStr">
        <is>
          <t>transcripts\tvs_apache_rtr_160_4v_special_edition.txt</t>
        </is>
      </c>
      <c r="N216" s="3" t="n"/>
      <c r="O216" s="3" t="n"/>
      <c r="P216" s="3" t="n"/>
      <c r="Q216" s="3" t="n"/>
      <c r="R216" s="3" t="n"/>
    </row>
    <row r="217">
      <c r="A217" s="2" t="inlineStr">
        <is>
          <t>tvs_apache_rtr_180_standard</t>
        </is>
      </c>
      <c r="B217" s="3" t="n"/>
      <c r="C217" s="3" t="inlineStr">
        <is>
          <t>https://youtu.be/hVJewp-MxiE?si=xU_2u87Fyn1mssyl</t>
        </is>
      </c>
      <c r="D217" s="3" t="n"/>
      <c r="E217" s="3" t="n"/>
      <c r="F217" s="3" t="n"/>
      <c r="G217" s="3" t="n"/>
      <c r="H217" s="3" t="n"/>
      <c r="I217" s="3" t="n"/>
      <c r="J217" s="3" t="n"/>
      <c r="K217" s="2" t="inlineStr">
        <is>
          <t>Y</t>
        </is>
      </c>
      <c r="L217" s="2" t="inlineStr">
        <is>
          <t>done</t>
        </is>
      </c>
      <c r="M217" s="3" t="inlineStr">
        <is>
          <t>transcripts\tvs_apache_rtr_180_standard.txt</t>
        </is>
      </c>
      <c r="N217" s="3" t="n"/>
      <c r="O217" s="3" t="n"/>
      <c r="P217" s="3" t="n"/>
      <c r="Q217" s="3" t="n"/>
      <c r="R217" s="3" t="n"/>
    </row>
    <row r="218">
      <c r="A218" s="2" t="inlineStr">
        <is>
          <t>tvs_apache_rtr_200_4v_dual_channel_abs</t>
        </is>
      </c>
      <c r="B218" s="3" t="n"/>
      <c r="C218" s="3" t="inlineStr">
        <is>
          <t>https://youtu.be/t6J1m5-E6J4?si=0d6k89V7pJwwoxQY</t>
        </is>
      </c>
      <c r="D218" s="3" t="n"/>
      <c r="E218" s="3" t="n"/>
      <c r="F218" s="3" t="n"/>
      <c r="G218" s="3" t="n"/>
      <c r="H218" s="3" t="n"/>
      <c r="I218" s="3" t="n"/>
      <c r="J218" s="3" t="n"/>
      <c r="K218" s="2" t="inlineStr">
        <is>
          <t>Y</t>
        </is>
      </c>
      <c r="L218" s="2" t="inlineStr">
        <is>
          <t>failed</t>
        </is>
      </c>
      <c r="M218" s="3" t="n"/>
      <c r="N218" s="3" t="n"/>
      <c r="O218" s="3" t="n"/>
      <c r="P218" s="3" t="n"/>
      <c r="Q218" s="3" t="n"/>
      <c r="R218" s="3" t="n"/>
    </row>
    <row r="219">
      <c r="A219" s="2" t="inlineStr">
        <is>
          <t>tvs_apache_rtx_300_standard</t>
        </is>
      </c>
      <c r="B219" s="3" t="n"/>
      <c r="C219" s="3" t="inlineStr">
        <is>
          <t>https://youtu.be/3QvwZiRyvEk?si=jMQX7E9s6yRxYBNC</t>
        </is>
      </c>
      <c r="D219" s="3" t="n"/>
      <c r="E219" s="3" t="n"/>
      <c r="F219" s="3" t="n"/>
      <c r="G219" s="3" t="n"/>
      <c r="H219" s="3" t="n"/>
      <c r="I219" s="3" t="n"/>
      <c r="J219" s="3" t="n"/>
      <c r="K219" s="2" t="inlineStr">
        <is>
          <t>Y</t>
        </is>
      </c>
      <c r="L219" s="2" t="inlineStr">
        <is>
          <t>done</t>
        </is>
      </c>
      <c r="M219" s="3" t="inlineStr">
        <is>
          <t>transcripts\tvs_apache_rtx_300_standard.txt</t>
        </is>
      </c>
      <c r="N219" s="3" t="n"/>
      <c r="O219" s="3" t="n"/>
      <c r="P219" s="3" t="n"/>
      <c r="Q219" s="3" t="n"/>
      <c r="R219" s="3" t="n"/>
    </row>
    <row r="220">
      <c r="A220" s="2" t="inlineStr">
        <is>
          <t>tvs_apache_rtr_310_standard</t>
        </is>
      </c>
      <c r="B220" s="3" t="n"/>
      <c r="C220" s="3" t="inlineStr">
        <is>
          <t>https://youtu.be/BKWG25um6SQ?si=v2QXpZGtZnbDd9ES</t>
        </is>
      </c>
      <c r="D220" s="3" t="n"/>
      <c r="E220" s="3" t="n"/>
      <c r="F220" s="3" t="n"/>
      <c r="G220" s="3" t="n"/>
      <c r="H220" s="3" t="n"/>
      <c r="I220" s="3" t="n"/>
      <c r="J220" s="3" t="n"/>
      <c r="K220" s="2" t="inlineStr">
        <is>
          <t>Y</t>
        </is>
      </c>
      <c r="L220" s="2" t="inlineStr">
        <is>
          <t>done</t>
        </is>
      </c>
      <c r="M220" s="3" t="inlineStr">
        <is>
          <t>transcripts\tvs_apache_rtr_310_standard.txt</t>
        </is>
      </c>
      <c r="N220" s="3" t="n"/>
      <c r="O220" s="3" t="n"/>
      <c r="P220" s="3" t="n"/>
      <c r="Q220" s="3" t="n"/>
      <c r="R220" s="3" t="n"/>
    </row>
    <row r="221">
      <c r="A221" s="2" t="inlineStr">
        <is>
          <t>tvs_apache_rr_310_standard</t>
        </is>
      </c>
      <c r="B221" s="3" t="n"/>
      <c r="C221" s="3" t="inlineStr">
        <is>
          <t>https://youtu.be/n6AqPC-oLio?si=1ArLSk4MenSPlT9j</t>
        </is>
      </c>
      <c r="D221" s="3" t="n"/>
      <c r="E221" s="3" t="n"/>
      <c r="F221" s="3" t="n"/>
      <c r="G221" s="3" t="n"/>
      <c r="H221" s="3" t="n"/>
      <c r="I221" s="3" t="n"/>
      <c r="J221" s="3" t="n"/>
      <c r="K221" s="2" t="inlineStr">
        <is>
          <t>Y</t>
        </is>
      </c>
      <c r="L221" s="2" t="inlineStr">
        <is>
          <t>done</t>
        </is>
      </c>
      <c r="M221" s="3" t="inlineStr">
        <is>
          <t>transcripts\tvs_apache_rr_310_standard.txt</t>
        </is>
      </c>
      <c r="N221" s="3" t="n"/>
      <c r="O221" s="3" t="n"/>
      <c r="P221" s="3" t="n"/>
      <c r="Q221" s="3" t="n"/>
      <c r="R221" s="3" t="n"/>
    </row>
    <row r="222">
      <c r="A222" s="2" t="inlineStr">
        <is>
          <t>tvs_ronin_225_ss_base</t>
        </is>
      </c>
      <c r="B222" s="3" t="n"/>
      <c r="C222" s="3" t="inlineStr">
        <is>
          <t>https://youtu.be/VvPMoQa-P2E?si=2XIve2uRuHrfnCid</t>
        </is>
      </c>
      <c r="D222" s="3" t="n"/>
      <c r="E222" s="3" t="n"/>
      <c r="F222" s="3" t="n"/>
      <c r="G222" s="3" t="n"/>
      <c r="H222" s="3" t="n"/>
      <c r="I222" s="3" t="n"/>
      <c r="J222" s="3" t="n"/>
      <c r="K222" s="2" t="inlineStr">
        <is>
          <t>Y</t>
        </is>
      </c>
      <c r="L222" s="2" t="inlineStr">
        <is>
          <t>done</t>
        </is>
      </c>
      <c r="M222" s="3" t="inlineStr">
        <is>
          <t>transcripts\tvs_ronin_225_ss_base.txt</t>
        </is>
      </c>
      <c r="N222" s="3" t="n"/>
      <c r="O222" s="3" t="n"/>
      <c r="P222" s="3" t="n"/>
      <c r="Q222" s="3" t="n"/>
      <c r="R222" s="3" t="n"/>
    </row>
    <row r="223">
      <c r="A223" s="2" t="inlineStr">
        <is>
          <t>tvs_zest_110_matte_series</t>
        </is>
      </c>
      <c r="B223" s="3" t="n"/>
      <c r="C223" s="3" t="inlineStr">
        <is>
          <t>https://youtu.be/gbbkNv8OiDk?si=u84ZeObIMVtyspEk</t>
        </is>
      </c>
      <c r="D223" s="3" t="n"/>
      <c r="E223" s="3" t="n"/>
      <c r="F223" s="3" t="n"/>
      <c r="G223" s="3" t="n"/>
      <c r="H223" s="3" t="n"/>
      <c r="I223" s="3" t="n"/>
      <c r="J223" s="3" t="n"/>
      <c r="K223" s="2" t="inlineStr">
        <is>
          <t>Y</t>
        </is>
      </c>
      <c r="L223" s="2" t="inlineStr">
        <is>
          <t>done</t>
        </is>
      </c>
      <c r="M223" s="3" t="inlineStr">
        <is>
          <t>transcripts\tvs_zest_110_matte_series.txt</t>
        </is>
      </c>
      <c r="N223" s="3" t="n"/>
      <c r="O223" s="3" t="n"/>
      <c r="P223" s="3" t="n"/>
      <c r="Q223" s="3" t="n"/>
      <c r="R223" s="3" t="n"/>
    </row>
    <row r="224">
      <c r="A224" s="2" t="inlineStr">
        <is>
          <t>tvs_jupiter_sheet_metal_wheel</t>
        </is>
      </c>
      <c r="B224" s="3" t="n"/>
      <c r="C224" s="3" t="inlineStr">
        <is>
          <t>https://youtu.be/a1pceVMmwho?si=eEl1QB8cMcF8DPYr</t>
        </is>
      </c>
      <c r="D224" s="3" t="n"/>
      <c r="E224" s="3" t="n"/>
      <c r="F224" s="3" t="n"/>
      <c r="G224" s="3" t="n"/>
      <c r="H224" s="3" t="n"/>
      <c r="I224" s="3" t="n"/>
      <c r="J224" s="3" t="n"/>
      <c r="K224" s="2" t="inlineStr">
        <is>
          <t>Y</t>
        </is>
      </c>
      <c r="L224" s="2" t="inlineStr">
        <is>
          <t>done</t>
        </is>
      </c>
      <c r="M224" s="3" t="inlineStr">
        <is>
          <t>transcripts\tvs_jupiter_sheet_metal_wheel.txt</t>
        </is>
      </c>
      <c r="N224" s="3" t="n"/>
      <c r="O224" s="3" t="n"/>
      <c r="P224" s="3" t="n"/>
      <c r="Q224" s="3" t="n"/>
      <c r="R224" s="3" t="n"/>
    </row>
    <row r="225">
      <c r="A225" s="2" t="inlineStr">
        <is>
          <t>tvs_jupiter_125_drum_steel_wheel</t>
        </is>
      </c>
      <c r="B225" s="3" t="n"/>
      <c r="C225" s="3" t="inlineStr">
        <is>
          <t>https://youtu.be/U-werOiiEUE?si=CI9KdpKrFZoLQH9l</t>
        </is>
      </c>
      <c r="D225" s="3" t="n"/>
      <c r="E225" s="3" t="n"/>
      <c r="F225" s="3" t="n"/>
      <c r="G225" s="3" t="n"/>
      <c r="H225" s="3" t="n"/>
      <c r="I225" s="3" t="n"/>
      <c r="J225" s="3" t="n"/>
      <c r="K225" s="2" t="inlineStr">
        <is>
          <t>Y</t>
        </is>
      </c>
      <c r="L225" s="2" t="inlineStr">
        <is>
          <t>done</t>
        </is>
      </c>
      <c r="M225" s="3" t="inlineStr">
        <is>
          <t>transcripts\tvs_jupiter_125_drum_steel_wheel.txt</t>
        </is>
      </c>
      <c r="N225" s="3" t="n"/>
      <c r="O225" s="3" t="n"/>
      <c r="P225" s="3" t="n"/>
      <c r="Q225" s="3" t="n"/>
      <c r="R225" s="3" t="n"/>
    </row>
    <row r="226">
      <c r="A226" s="2" t="inlineStr">
        <is>
          <t>tvs_ntorq_125_disc</t>
        </is>
      </c>
      <c r="B226" s="3" t="n"/>
      <c r="C226" s="3" t="inlineStr">
        <is>
          <t>https://youtu.be/Zv3J3K-J9t0?si=Md3hyHcaTZkuEkyC</t>
        </is>
      </c>
      <c r="D226" s="3" t="n"/>
      <c r="E226" s="3" t="n"/>
      <c r="F226" s="3" t="n"/>
      <c r="G226" s="3" t="n"/>
      <c r="H226" s="3" t="n"/>
      <c r="I226" s="3" t="n"/>
      <c r="J226" s="3" t="n"/>
      <c r="K226" s="2" t="inlineStr">
        <is>
          <t>Y</t>
        </is>
      </c>
      <c r="L226" s="2" t="inlineStr">
        <is>
          <t>done</t>
        </is>
      </c>
      <c r="M226" s="3" t="inlineStr">
        <is>
          <t>transcripts\tvs_ntorq_125_disc.txt</t>
        </is>
      </c>
      <c r="N226" s="3" t="n"/>
      <c r="O226" s="3" t="n"/>
      <c r="P226" s="3" t="n"/>
      <c r="Q226" s="3" t="n"/>
      <c r="R226" s="3" t="n"/>
    </row>
    <row r="227">
      <c r="A227" s="2" t="inlineStr">
        <is>
          <t>tvs_ntorq_150_standard</t>
        </is>
      </c>
      <c r="B227" s="3" t="n"/>
      <c r="C227" s="3" t="inlineStr">
        <is>
          <t>https://youtu.be/91vRYDZZHXI?si=fu9yKoYY59hUB43s</t>
        </is>
      </c>
      <c r="D227" s="3" t="n"/>
      <c r="E227" s="3" t="n"/>
      <c r="F227" s="3" t="n"/>
      <c r="G227" s="3" t="n"/>
      <c r="H227" s="3" t="n"/>
      <c r="I227" s="3" t="n"/>
      <c r="J227" s="3" t="n"/>
      <c r="K227" s="2" t="inlineStr">
        <is>
          <t>Y</t>
        </is>
      </c>
      <c r="L227" s="2" t="inlineStr">
        <is>
          <t>done</t>
        </is>
      </c>
      <c r="M227" s="3" t="inlineStr">
        <is>
          <t>transcripts\tvs_ntorq_150_standard.txt</t>
        </is>
      </c>
      <c r="N227" s="3" t="n"/>
      <c r="O227" s="3" t="n"/>
      <c r="P227" s="3" t="n"/>
      <c r="Q227" s="3" t="n"/>
      <c r="R227" s="3" t="n"/>
    </row>
    <row r="228">
      <c r="A228" s="2" t="inlineStr">
        <is>
          <t>vespa_vxl_125_standard</t>
        </is>
      </c>
      <c r="B228" s="3" t="n"/>
      <c r="C228" s="3" t="inlineStr">
        <is>
          <t>https://youtu.be/wYfvMI8Y5Ao?si=nypGuM1pDbIP8z4s</t>
        </is>
      </c>
      <c r="D228" s="3" t="n"/>
      <c r="E228" s="3" t="n"/>
      <c r="F228" s="3" t="n"/>
      <c r="G228" s="3" t="n"/>
      <c r="H228" s="3" t="n"/>
      <c r="I228" s="3" t="n"/>
      <c r="J228" s="3" t="n"/>
      <c r="K228" s="2" t="inlineStr">
        <is>
          <t>Y</t>
        </is>
      </c>
      <c r="L228" s="2" t="inlineStr">
        <is>
          <t>done</t>
        </is>
      </c>
      <c r="M228" s="3" t="inlineStr">
        <is>
          <t>transcripts\vespa_vxl_125_standard.txt</t>
        </is>
      </c>
      <c r="N228" s="3" t="n"/>
      <c r="O228" s="3" t="n"/>
      <c r="P228" s="3" t="n"/>
      <c r="Q228" s="3" t="n"/>
      <c r="R228" s="3" t="n"/>
    </row>
    <row r="229">
      <c r="A229" s="2" t="inlineStr">
        <is>
          <t>vespa_vxl_150_standard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2" t="inlineStr">
        <is>
          <t>Y</t>
        </is>
      </c>
      <c r="L229" s="2" t="inlineStr">
        <is>
          <t>pending</t>
        </is>
      </c>
      <c r="M229" s="3" t="n"/>
      <c r="N229" s="3" t="n"/>
      <c r="O229" s="3" t="n"/>
      <c r="P229" s="3" t="n"/>
      <c r="Q229" s="3" t="n"/>
      <c r="R229" s="3" t="n"/>
    </row>
    <row r="230">
      <c r="A230" s="2" t="inlineStr">
        <is>
          <t>vespa_sxl_125_standard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2" t="inlineStr">
        <is>
          <t>Y</t>
        </is>
      </c>
      <c r="L230" s="2" t="inlineStr">
        <is>
          <t>pending</t>
        </is>
      </c>
      <c r="M230" s="3" t="n"/>
      <c r="N230" s="3" t="n"/>
      <c r="O230" s="3" t="n"/>
      <c r="P230" s="3" t="n"/>
      <c r="Q230" s="3" t="n"/>
      <c r="R230" s="3" t="n"/>
    </row>
    <row r="231">
      <c r="A231" s="2" t="inlineStr">
        <is>
          <t>vespa_sxl_150_standard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2" t="inlineStr">
        <is>
          <t>Y</t>
        </is>
      </c>
      <c r="L231" s="2" t="inlineStr">
        <is>
          <t>pending</t>
        </is>
      </c>
      <c r="M231" s="3" t="n"/>
      <c r="N231" s="3" t="n"/>
      <c r="O231" s="3" t="n"/>
      <c r="P231" s="3" t="n"/>
      <c r="Q231" s="3" t="n"/>
      <c r="R231" s="3" t="n"/>
    </row>
    <row r="232">
      <c r="A232" s="2" t="inlineStr">
        <is>
          <t>vespa_zx_125_cbs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2" t="inlineStr">
        <is>
          <t>Y</t>
        </is>
      </c>
      <c r="L232" s="2" t="inlineStr">
        <is>
          <t>pending</t>
        </is>
      </c>
      <c r="M232" s="3" t="n"/>
      <c r="N232" s="3" t="n"/>
      <c r="O232" s="3" t="n"/>
      <c r="P232" s="3" t="n"/>
      <c r="Q232" s="3" t="n"/>
      <c r="R232" s="3" t="n"/>
    </row>
    <row r="233">
      <c r="A233" s="2" t="inlineStr">
        <is>
          <t>yamaha_fz_fi_standard_version_4_0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2" t="inlineStr">
        <is>
          <t>Y</t>
        </is>
      </c>
      <c r="L233" s="2" t="inlineStr">
        <is>
          <t>pending</t>
        </is>
      </c>
      <c r="M233" s="3" t="n"/>
      <c r="N233" s="3" t="n"/>
      <c r="O233" s="3" t="n"/>
      <c r="P233" s="3" t="n"/>
      <c r="Q233" s="3" t="n"/>
      <c r="R233" s="3" t="n"/>
    </row>
    <row r="234">
      <c r="A234" s="2" t="inlineStr">
        <is>
          <t>yamaha_fzs_fi_version_4_0_deluxe</t>
        </is>
      </c>
      <c r="B234" s="3" t="n"/>
      <c r="C234" s="3" t="inlineStr">
        <is>
          <t>https://youtu.be/xwLcXM9L91s?si=-uazYgRFyA84OdVS</t>
        </is>
      </c>
      <c r="D234" s="3" t="n"/>
      <c r="E234" s="3" t="n"/>
      <c r="F234" s="3" t="n"/>
      <c r="G234" s="3" t="n"/>
      <c r="H234" s="3" t="n"/>
      <c r="I234" s="3" t="n"/>
      <c r="J234" s="3" t="n"/>
      <c r="K234" s="2" t="inlineStr">
        <is>
          <t>Y</t>
        </is>
      </c>
      <c r="L234" s="2" t="inlineStr">
        <is>
          <t>done</t>
        </is>
      </c>
      <c r="M234" s="3" t="inlineStr">
        <is>
          <t>transcripts\yamaha_fzs_fi_version_4_0_deluxe.txt</t>
        </is>
      </c>
      <c r="N234" s="3" t="n"/>
      <c r="O234" s="3" t="n"/>
      <c r="P234" s="3" t="n"/>
      <c r="Q234" s="3" t="n"/>
      <c r="R234" s="3" t="n"/>
    </row>
    <row r="235">
      <c r="A235" s="2" t="inlineStr">
        <is>
          <t>yamaha_fz_x_standard_chrome</t>
        </is>
      </c>
      <c r="B235" s="3" t="n"/>
      <c r="C235" s="3" t="inlineStr">
        <is>
          <t>https://youtu.be/9srduQiRFHs?si=9zJpwYIG7NBf6Zyo</t>
        </is>
      </c>
      <c r="D235" s="3" t="n"/>
      <c r="E235" s="3" t="n"/>
      <c r="F235" s="3" t="n"/>
      <c r="G235" s="3" t="n"/>
      <c r="H235" s="3" t="n"/>
      <c r="I235" s="3" t="n"/>
      <c r="J235" s="3" t="n"/>
      <c r="K235" s="2" t="inlineStr">
        <is>
          <t>Y</t>
        </is>
      </c>
      <c r="L235" s="2" t="inlineStr">
        <is>
          <t>done</t>
        </is>
      </c>
      <c r="M235" s="3" t="inlineStr">
        <is>
          <t>transcripts\yamaha_fz_x_standard_chrome.txt</t>
        </is>
      </c>
      <c r="N235" s="3" t="n"/>
      <c r="O235" s="3" t="n"/>
      <c r="P235" s="3" t="n"/>
      <c r="Q235" s="3" t="n"/>
      <c r="R235" s="3" t="n"/>
    </row>
    <row r="236">
      <c r="A236" s="2" t="inlineStr">
        <is>
          <t>yamaha_fz_25_standard</t>
        </is>
      </c>
      <c r="B236" s="3" t="n"/>
      <c r="C236" s="3" t="inlineStr">
        <is>
          <t>https://youtu.be/_-HzRyN0mN8?si=px6TibSrG4BTaqev</t>
        </is>
      </c>
      <c r="D236" s="3" t="n"/>
      <c r="E236" s="3" t="n"/>
      <c r="F236" s="3" t="n"/>
      <c r="G236" s="3" t="n"/>
      <c r="H236" s="3" t="n"/>
      <c r="I236" s="3" t="n"/>
      <c r="J236" s="3" t="n"/>
      <c r="K236" s="2" t="inlineStr">
        <is>
          <t>Y</t>
        </is>
      </c>
      <c r="L236" s="2" t="inlineStr">
        <is>
          <t>done</t>
        </is>
      </c>
      <c r="M236" s="3" t="inlineStr">
        <is>
          <t>transcripts\yamaha_fz_25_standard.txt</t>
        </is>
      </c>
      <c r="N236" s="3" t="n"/>
      <c r="O236" s="3" t="n"/>
      <c r="P236" s="3" t="n"/>
      <c r="Q236" s="3" t="n"/>
      <c r="R236" s="3" t="n"/>
    </row>
    <row r="237">
      <c r="A237" s="2" t="inlineStr">
        <is>
          <t>yamaha_mt_15_v2_deluxe</t>
        </is>
      </c>
      <c r="B237" s="3" t="n"/>
      <c r="C237" s="3" t="inlineStr">
        <is>
          <t>https://youtu.be/ZNzILQt5i6k?si=I1GzufzlEUFylrRA</t>
        </is>
      </c>
      <c r="D237" s="3" t="n"/>
      <c r="E237" s="3" t="n"/>
      <c r="F237" s="3" t="n"/>
      <c r="G237" s="3" t="n"/>
      <c r="H237" s="3" t="n"/>
      <c r="I237" s="3" t="n"/>
      <c r="J237" s="3" t="n"/>
      <c r="K237" s="2" t="inlineStr">
        <is>
          <t>Y</t>
        </is>
      </c>
      <c r="L237" s="2" t="inlineStr">
        <is>
          <t>done</t>
        </is>
      </c>
      <c r="M237" s="3" t="inlineStr">
        <is>
          <t>transcripts\yamaha_mt_15_v2_deluxe.txt</t>
        </is>
      </c>
      <c r="N237" s="3" t="n"/>
      <c r="O237" s="3" t="n"/>
      <c r="P237" s="3" t="n"/>
      <c r="Q237" s="3" t="n"/>
      <c r="R237" s="3" t="n"/>
    </row>
    <row r="238">
      <c r="A238" s="2" t="inlineStr">
        <is>
          <t>yamaha_yzf_r15_v4_deluxe</t>
        </is>
      </c>
      <c r="B238" s="3" t="n"/>
      <c r="C238" s="3" t="inlineStr">
        <is>
          <t>https://youtu.be/Ocnj7gY8Nqg?si=usWhqAWykkROT_bw</t>
        </is>
      </c>
      <c r="D238" s="3" t="n"/>
      <c r="E238" s="3" t="n"/>
      <c r="F238" s="3" t="n"/>
      <c r="G238" s="3" t="n"/>
      <c r="H238" s="3" t="n"/>
      <c r="I238" s="3" t="n"/>
      <c r="J238" s="3" t="n"/>
      <c r="K238" s="2" t="inlineStr">
        <is>
          <t>Y</t>
        </is>
      </c>
      <c r="L238" s="2" t="inlineStr">
        <is>
          <t>done</t>
        </is>
      </c>
      <c r="M238" s="3" t="inlineStr">
        <is>
          <t>transcripts\yamaha_yzf_r15_v4_deluxe.txt</t>
        </is>
      </c>
      <c r="N238" s="3" t="n"/>
      <c r="O238" s="3" t="n"/>
      <c r="P238" s="3" t="n"/>
      <c r="Q238" s="3" t="n"/>
      <c r="R238" s="3" t="n"/>
    </row>
    <row r="239">
      <c r="A239" s="2" t="inlineStr">
        <is>
          <t>yamaha_yzf_r15m_monster_energy_edition</t>
        </is>
      </c>
      <c r="B239" s="3" t="n"/>
      <c r="C239" s="3" t="inlineStr">
        <is>
          <t>https://youtu.be/isYaqR8TFwY?si=jp5qZ1_61R8A90hc</t>
        </is>
      </c>
      <c r="D239" s="3" t="n"/>
      <c r="E239" s="3" t="n"/>
      <c r="F239" s="3" t="n"/>
      <c r="G239" s="3" t="n"/>
      <c r="H239" s="3" t="n"/>
      <c r="I239" s="3" t="n"/>
      <c r="J239" s="3" t="n"/>
      <c r="K239" s="2" t="inlineStr">
        <is>
          <t>Y</t>
        </is>
      </c>
      <c r="L239" s="2" t="inlineStr">
        <is>
          <t>done</t>
        </is>
      </c>
      <c r="M239" s="3" t="inlineStr">
        <is>
          <t>transcripts\yamaha_yzf_r15m_monster_energy_edition.txt</t>
        </is>
      </c>
      <c r="N239" s="3" t="n"/>
      <c r="O239" s="3" t="n"/>
      <c r="P239" s="3" t="n"/>
      <c r="Q239" s="3" t="n"/>
      <c r="R239" s="3" t="n"/>
    </row>
    <row r="240">
      <c r="A240" s="2" t="inlineStr">
        <is>
          <t>yamaha_yzf_r3_standard</t>
        </is>
      </c>
      <c r="B240" s="3" t="n"/>
      <c r="C240" s="3" t="inlineStr">
        <is>
          <t>https://youtu.be/LKHbEPLaGb4?si=UiNejx5c7sum1-pz</t>
        </is>
      </c>
      <c r="D240" s="3" t="n"/>
      <c r="E240" s="3" t="n"/>
      <c r="F240" s="3" t="n"/>
      <c r="G240" s="3" t="n"/>
      <c r="H240" s="3" t="n"/>
      <c r="I240" s="3" t="n"/>
      <c r="J240" s="3" t="n"/>
      <c r="K240" s="2" t="inlineStr">
        <is>
          <t>Y</t>
        </is>
      </c>
      <c r="L240" s="2" t="inlineStr">
        <is>
          <t>done</t>
        </is>
      </c>
      <c r="M240" s="3" t="inlineStr">
        <is>
          <t>transcripts\yamaha_yzf_r3_standard.txt</t>
        </is>
      </c>
      <c r="N240" s="3" t="n"/>
      <c r="O240" s="3" t="n"/>
      <c r="P240" s="3" t="n"/>
      <c r="Q240" s="3" t="n"/>
      <c r="R240" s="3" t="n"/>
    </row>
    <row r="241">
      <c r="A241" s="2" t="inlineStr">
        <is>
          <t>yamaha_mt_03_standard</t>
        </is>
      </c>
      <c r="B241" s="3" t="n"/>
      <c r="C241" s="3" t="inlineStr">
        <is>
          <t>https://youtu.be/qdrVduk5NSc?si=OAFdbSyPMvS_Dv-G</t>
        </is>
      </c>
      <c r="D241" s="3" t="n"/>
      <c r="E241" s="3" t="n"/>
      <c r="F241" s="3" t="n"/>
      <c r="G241" s="3" t="n"/>
      <c r="H241" s="3" t="n"/>
      <c r="I241" s="3" t="n"/>
      <c r="J241" s="3" t="n"/>
      <c r="K241" s="2" t="inlineStr">
        <is>
          <t>Y</t>
        </is>
      </c>
      <c r="L241" s="2" t="inlineStr">
        <is>
          <t>done</t>
        </is>
      </c>
      <c r="M241" s="3" t="inlineStr">
        <is>
          <t>transcripts\yamaha_mt_03_standard.txt</t>
        </is>
      </c>
      <c r="N241" s="3" t="n"/>
      <c r="O241" s="3" t="n"/>
      <c r="P241" s="3" t="n"/>
      <c r="Q241" s="3" t="n"/>
      <c r="R241" s="3" t="n"/>
    </row>
    <row r="242">
      <c r="A242" s="2" t="inlineStr">
        <is>
          <t>yamaha_rayzr_125_fi_hybrid_disc_dark_knight</t>
        </is>
      </c>
      <c r="B242" s="3" t="n"/>
      <c r="C242" s="3" t="inlineStr">
        <is>
          <t>https://youtu.be/Rr1Y2LZzOOA?si=Ufr1WYHtrZnt_2QA</t>
        </is>
      </c>
      <c r="D242" s="3" t="n"/>
      <c r="E242" s="3" t="n"/>
      <c r="F242" s="3" t="n"/>
      <c r="G242" s="3" t="n"/>
      <c r="H242" s="3" t="n"/>
      <c r="I242" s="3" t="n"/>
      <c r="J242" s="3" t="n"/>
      <c r="K242" s="2" t="inlineStr">
        <is>
          <t>Y</t>
        </is>
      </c>
      <c r="L242" s="2" t="inlineStr">
        <is>
          <t>done</t>
        </is>
      </c>
      <c r="M242" s="3" t="inlineStr">
        <is>
          <t>transcripts\yamaha_rayzr_125_fi_hybrid_disc_dark_knight.txt</t>
        </is>
      </c>
      <c r="N242" s="3" t="n"/>
      <c r="O242" s="3" t="n"/>
      <c r="P242" s="3" t="n"/>
      <c r="Q242" s="3" t="n"/>
      <c r="R242" s="3" t="n"/>
    </row>
    <row r="243">
      <c r="A243" s="2" t="inlineStr">
        <is>
          <t>yamaha_fascino_125_fi_hybrid_disc_splendid_blue</t>
        </is>
      </c>
      <c r="B243" s="3" t="n"/>
      <c r="C243" s="3" t="inlineStr">
        <is>
          <t>https://youtu.be/WJKoYBQRqDE?si=LG5eSRoXge0-8iuD</t>
        </is>
      </c>
      <c r="D243" s="3" t="n"/>
      <c r="E243" s="3" t="n"/>
      <c r="F243" s="3" t="n"/>
      <c r="G243" s="3" t="n"/>
      <c r="H243" s="3" t="n"/>
      <c r="I243" s="3" t="n"/>
      <c r="J243" s="3" t="n"/>
      <c r="K243" s="2" t="inlineStr">
        <is>
          <t>Y</t>
        </is>
      </c>
      <c r="L243" s="2" t="inlineStr">
        <is>
          <t>done</t>
        </is>
      </c>
      <c r="M243" s="3" t="inlineStr">
        <is>
          <t>transcripts\yamaha_fascino_125_fi_hybrid_disc_splendid_blue.txt</t>
        </is>
      </c>
      <c r="N243" s="3" t="n"/>
      <c r="O243" s="3" t="n"/>
      <c r="P243" s="3" t="n"/>
      <c r="Q243" s="3" t="n"/>
      <c r="R243" s="3" t="n"/>
    </row>
    <row r="244">
      <c r="A244" s="2" t="inlineStr">
        <is>
          <t>yamaha_aerox_155_version_s</t>
        </is>
      </c>
      <c r="B244" s="3" t="n"/>
      <c r="C244" s="3" t="inlineStr">
        <is>
          <t>https://youtu.be/ub1X8z_p74U?si=WcC084v384keRDTV</t>
        </is>
      </c>
      <c r="D244" s="3" t="n"/>
      <c r="E244" s="3" t="n"/>
      <c r="F244" s="3" t="n"/>
      <c r="G244" s="3" t="n"/>
      <c r="H244" s="3" t="n"/>
      <c r="I244" s="3" t="n"/>
      <c r="J244" s="3" t="n"/>
      <c r="K244" s="2" t="inlineStr">
        <is>
          <t>Y</t>
        </is>
      </c>
      <c r="L244" s="2" t="inlineStr">
        <is>
          <t>done</t>
        </is>
      </c>
      <c r="M244" s="3" t="inlineStr">
        <is>
          <t>transcripts\yamaha_aerox_155_version_s.txt</t>
        </is>
      </c>
      <c r="N244" s="3" t="n"/>
      <c r="O244" s="3" t="n"/>
      <c r="P244" s="3" t="n"/>
      <c r="Q244" s="3" t="n"/>
      <c r="R244" s="3" t="n"/>
    </row>
    <row r="245">
      <c r="A245" s="2" t="inlineStr">
        <is>
          <t>yezdi_roadster_smoke_grey</t>
        </is>
      </c>
      <c r="B245" s="3" t="n"/>
      <c r="C245" s="3" t="inlineStr">
        <is>
          <t>https://youtu.be/PFIxGfcFNjM?si=EgsjD5CkbCaBtGFJ</t>
        </is>
      </c>
      <c r="D245" s="3" t="n"/>
      <c r="E245" s="3" t="n"/>
      <c r="F245" s="3" t="n"/>
      <c r="G245" s="3" t="n"/>
      <c r="H245" s="3" t="n"/>
      <c r="I245" s="3" t="n"/>
      <c r="J245" s="3" t="n"/>
      <c r="K245" s="2" t="inlineStr">
        <is>
          <t>Y</t>
        </is>
      </c>
      <c r="L245" s="2" t="inlineStr">
        <is>
          <t>done</t>
        </is>
      </c>
      <c r="M245" s="3" t="inlineStr">
        <is>
          <t>transcripts\yezdi_roadster_smoke_grey.txt</t>
        </is>
      </c>
      <c r="N245" s="3" t="n"/>
      <c r="O245" s="3" t="n"/>
      <c r="P245" s="3" t="n"/>
      <c r="Q245" s="3" t="n"/>
      <c r="R245" s="3" t="n"/>
    </row>
    <row r="246">
      <c r="A246" s="2" t="inlineStr">
        <is>
          <t>yezdi_scrambler_legacy_black</t>
        </is>
      </c>
      <c r="B246" s="3" t="n"/>
      <c r="C246" s="3" t="inlineStr">
        <is>
          <t>https://youtu.be/exyKBz2wKWE?si=Xf1ja6Wutsnmjovr</t>
        </is>
      </c>
      <c r="D246" s="3" t="n"/>
      <c r="E246" s="3" t="n"/>
      <c r="F246" s="3" t="n"/>
      <c r="G246" s="3" t="n"/>
      <c r="H246" s="3" t="n"/>
      <c r="I246" s="3" t="n"/>
      <c r="J246" s="3" t="n"/>
      <c r="K246" s="2" t="inlineStr">
        <is>
          <t>Y</t>
        </is>
      </c>
      <c r="L246" s="2" t="inlineStr">
        <is>
          <t>done</t>
        </is>
      </c>
      <c r="M246" s="3" t="inlineStr">
        <is>
          <t>transcripts\yezdi_scrambler_legacy_black.txt</t>
        </is>
      </c>
      <c r="N246" s="3" t="n"/>
      <c r="O246" s="3" t="n"/>
      <c r="P246" s="3" t="n"/>
      <c r="Q246" s="3" t="n"/>
      <c r="R246" s="3" t="n"/>
    </row>
    <row r="247">
      <c r="A247" s="2" t="inlineStr">
        <is>
          <t>yezdi_adventure_matte_edition</t>
        </is>
      </c>
      <c r="B247" s="3" t="n"/>
      <c r="C247" s="3" t="inlineStr">
        <is>
          <t>https://youtu.be/Iwavw0ARaFE?si=tB2v9jyQAmockmtq</t>
        </is>
      </c>
      <c r="D247" s="3" t="n"/>
      <c r="E247" s="3" t="n"/>
      <c r="F247" s="3" t="n"/>
      <c r="G247" s="3" t="n"/>
      <c r="H247" s="3" t="n"/>
      <c r="I247" s="3" t="n"/>
      <c r="J247" s="3" t="n"/>
      <c r="K247" s="2" t="inlineStr">
        <is>
          <t>Y</t>
        </is>
      </c>
      <c r="L247" s="2" t="inlineStr">
        <is>
          <t>done</t>
        </is>
      </c>
      <c r="M247" s="3" t="inlineStr">
        <is>
          <t>transcripts\yezdi_adventure_matte_edition.txt</t>
        </is>
      </c>
      <c r="N247" s="3" t="n"/>
      <c r="O247" s="3" t="n"/>
      <c r="P247" s="3" t="n"/>
      <c r="Q247" s="3" t="n"/>
      <c r="R247" s="3" t="n"/>
    </row>
    <row r="248">
      <c r="A248" s="2" t="inlineStr">
        <is>
          <t>zontes_u1_200_standard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2" t="inlineStr">
        <is>
          <t>Y</t>
        </is>
      </c>
      <c r="L248" s="2" t="inlineStr">
        <is>
          <t>pending</t>
        </is>
      </c>
      <c r="M248" s="3" t="n"/>
      <c r="N248" s="3" t="n"/>
      <c r="O248" s="3" t="n"/>
      <c r="P248" s="3" t="n"/>
      <c r="Q248" s="3" t="n"/>
      <c r="R248" s="3" t="n"/>
    </row>
    <row r="249">
      <c r="A249" s="2" t="inlineStr">
        <is>
          <t>zontes_350r_standard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2" t="inlineStr">
        <is>
          <t>Y</t>
        </is>
      </c>
      <c r="L249" s="2" t="inlineStr">
        <is>
          <t>pending</t>
        </is>
      </c>
      <c r="M249" s="3" t="n"/>
      <c r="N249" s="3" t="n"/>
      <c r="O249" s="3" t="n"/>
      <c r="P249" s="3" t="n"/>
      <c r="Q249" s="3" t="n"/>
      <c r="R249" s="3" t="n"/>
    </row>
    <row r="250">
      <c r="A250" s="2" t="inlineStr">
        <is>
          <t>zontes_350x_standard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2" t="inlineStr">
        <is>
          <t>Y</t>
        </is>
      </c>
      <c r="L250" s="2" t="inlineStr">
        <is>
          <t>pending</t>
        </is>
      </c>
      <c r="M250" s="3" t="n"/>
      <c r="N250" s="3" t="n"/>
      <c r="O250" s="3" t="n"/>
      <c r="P250" s="3" t="n"/>
      <c r="Q250" s="3" t="n"/>
      <c r="R250" s="3" t="n"/>
    </row>
    <row r="251">
      <c r="A251" s="2" t="inlineStr">
        <is>
          <t>zontes_350t_standard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2" t="inlineStr">
        <is>
          <t>Y</t>
        </is>
      </c>
      <c r="L251" s="2" t="inlineStr">
        <is>
          <t>pending</t>
        </is>
      </c>
      <c r="M251" s="3" t="n"/>
      <c r="N251" s="3" t="n"/>
      <c r="O251" s="3" t="n"/>
      <c r="P251" s="3" t="n"/>
      <c r="Q251" s="3" t="n"/>
      <c r="R251" s="3" t="n"/>
    </row>
    <row r="252">
      <c r="A252" s="2" t="inlineStr">
        <is>
          <t>zontes_350t_adv_standard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2" t="inlineStr">
        <is>
          <t>Y</t>
        </is>
      </c>
      <c r="L252" s="2" t="inlineStr">
        <is>
          <t>pending</t>
        </is>
      </c>
      <c r="M252" s="3" t="n"/>
      <c r="N252" s="3" t="n"/>
      <c r="O252" s="3" t="n"/>
      <c r="P252" s="3" t="n"/>
      <c r="Q252" s="3" t="n"/>
      <c r="R252" s="3" t="n"/>
    </row>
    <row r="253">
      <c r="A253" s="2" t="inlineStr">
        <is>
          <t>zontes_350v_standard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2" t="inlineStr">
        <is>
          <t>Y</t>
        </is>
      </c>
      <c r="L253" s="2" t="inlineStr">
        <is>
          <t>pending</t>
        </is>
      </c>
      <c r="M253" s="3" t="n"/>
      <c r="N253" s="3" t="n"/>
      <c r="O253" s="3" t="n"/>
      <c r="P253" s="3" t="n"/>
      <c r="Q253" s="3" t="n"/>
      <c r="R253" s="3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35" r:id="rId28"/>
    <hyperlink xmlns:r="http://schemas.openxmlformats.org/officeDocument/2006/relationships" ref="C36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8" r:id="rId48"/>
    <hyperlink xmlns:r="http://schemas.openxmlformats.org/officeDocument/2006/relationships" ref="C59" r:id="rId49"/>
    <hyperlink xmlns:r="http://schemas.openxmlformats.org/officeDocument/2006/relationships" ref="C60" r:id="rId50"/>
    <hyperlink xmlns:r="http://schemas.openxmlformats.org/officeDocument/2006/relationships" ref="C61" r:id="rId51"/>
    <hyperlink xmlns:r="http://schemas.openxmlformats.org/officeDocument/2006/relationships" ref="C62" r:id="rId52"/>
    <hyperlink xmlns:r="http://schemas.openxmlformats.org/officeDocument/2006/relationships" ref="C63" r:id="rId53"/>
    <hyperlink xmlns:r="http://schemas.openxmlformats.org/officeDocument/2006/relationships" ref="C64" r:id="rId54"/>
    <hyperlink xmlns:r="http://schemas.openxmlformats.org/officeDocument/2006/relationships" ref="C65" r:id="rId55"/>
    <hyperlink xmlns:r="http://schemas.openxmlformats.org/officeDocument/2006/relationships" ref="C66" r:id="rId56"/>
    <hyperlink xmlns:r="http://schemas.openxmlformats.org/officeDocument/2006/relationships" ref="C70" r:id="rId57"/>
    <hyperlink xmlns:r="http://schemas.openxmlformats.org/officeDocument/2006/relationships" ref="C71" r:id="rId58"/>
    <hyperlink xmlns:r="http://schemas.openxmlformats.org/officeDocument/2006/relationships" ref="C72" r:id="rId59"/>
    <hyperlink xmlns:r="http://schemas.openxmlformats.org/officeDocument/2006/relationships" ref="C75" r:id="rId60"/>
    <hyperlink xmlns:r="http://schemas.openxmlformats.org/officeDocument/2006/relationships" ref="C78" r:id="rId61"/>
    <hyperlink xmlns:r="http://schemas.openxmlformats.org/officeDocument/2006/relationships" ref="C79" r:id="rId62"/>
    <hyperlink xmlns:r="http://schemas.openxmlformats.org/officeDocument/2006/relationships" ref="C80" r:id="rId63"/>
    <hyperlink xmlns:r="http://schemas.openxmlformats.org/officeDocument/2006/relationships" ref="C81" r:id="rId64"/>
    <hyperlink xmlns:r="http://schemas.openxmlformats.org/officeDocument/2006/relationships" ref="C82" r:id="rId65"/>
    <hyperlink xmlns:r="http://schemas.openxmlformats.org/officeDocument/2006/relationships" ref="C83" r:id="rId66"/>
    <hyperlink xmlns:r="http://schemas.openxmlformats.org/officeDocument/2006/relationships" ref="C86" r:id="rId67"/>
    <hyperlink xmlns:r="http://schemas.openxmlformats.org/officeDocument/2006/relationships" ref="C87" r:id="rId68"/>
    <hyperlink xmlns:r="http://schemas.openxmlformats.org/officeDocument/2006/relationships" ref="C90" r:id="rId69"/>
    <hyperlink xmlns:r="http://schemas.openxmlformats.org/officeDocument/2006/relationships" ref="C91" r:id="rId70"/>
    <hyperlink xmlns:r="http://schemas.openxmlformats.org/officeDocument/2006/relationships" ref="C92" r:id="rId71"/>
    <hyperlink xmlns:r="http://schemas.openxmlformats.org/officeDocument/2006/relationships" ref="C93" r:id="rId72"/>
    <hyperlink xmlns:r="http://schemas.openxmlformats.org/officeDocument/2006/relationships" ref="C94" r:id="rId73"/>
    <hyperlink xmlns:r="http://schemas.openxmlformats.org/officeDocument/2006/relationships" ref="C95" r:id="rId74"/>
    <hyperlink xmlns:r="http://schemas.openxmlformats.org/officeDocument/2006/relationships" ref="C96" r:id="rId75"/>
    <hyperlink xmlns:r="http://schemas.openxmlformats.org/officeDocument/2006/relationships" ref="C98" r:id="rId76"/>
    <hyperlink xmlns:r="http://schemas.openxmlformats.org/officeDocument/2006/relationships" ref="C99" r:id="rId77"/>
    <hyperlink xmlns:r="http://schemas.openxmlformats.org/officeDocument/2006/relationships" ref="C103" r:id="rId78"/>
    <hyperlink xmlns:r="http://schemas.openxmlformats.org/officeDocument/2006/relationships" ref="C104" r:id="rId79"/>
    <hyperlink xmlns:r="http://schemas.openxmlformats.org/officeDocument/2006/relationships" ref="C116" r:id="rId80"/>
    <hyperlink xmlns:r="http://schemas.openxmlformats.org/officeDocument/2006/relationships" ref="C117" r:id="rId81"/>
    <hyperlink xmlns:r="http://schemas.openxmlformats.org/officeDocument/2006/relationships" ref="C118" r:id="rId82"/>
    <hyperlink xmlns:r="http://schemas.openxmlformats.org/officeDocument/2006/relationships" ref="C119" r:id="rId83"/>
    <hyperlink xmlns:r="http://schemas.openxmlformats.org/officeDocument/2006/relationships" ref="C120" r:id="rId84"/>
    <hyperlink xmlns:r="http://schemas.openxmlformats.org/officeDocument/2006/relationships" ref="C122" r:id="rId85"/>
    <hyperlink xmlns:r="http://schemas.openxmlformats.org/officeDocument/2006/relationships" ref="C123" r:id="rId86"/>
    <hyperlink xmlns:r="http://schemas.openxmlformats.org/officeDocument/2006/relationships" ref="C139" r:id="rId87"/>
    <hyperlink xmlns:r="http://schemas.openxmlformats.org/officeDocument/2006/relationships" ref="C140" r:id="rId88"/>
    <hyperlink xmlns:r="http://schemas.openxmlformats.org/officeDocument/2006/relationships" ref="C170" r:id="rId89"/>
    <hyperlink xmlns:r="http://schemas.openxmlformats.org/officeDocument/2006/relationships" ref="C171" r:id="rId90"/>
    <hyperlink xmlns:r="http://schemas.openxmlformats.org/officeDocument/2006/relationships" ref="C187" r:id="rId91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zoomScaleNormal="100" workbookViewId="0">
      <selection activeCell="A1" sqref="A1"/>
    </sheetView>
  </sheetViews>
  <sheetFormatPr baseColWidth="8" defaultColWidth="8.6640625" defaultRowHeight="14.4"/>
  <cols>
    <col width="105" customWidth="1" min="1" max="1"/>
  </cols>
  <sheetData>
    <row r="1">
      <c r="A1" s="4" t="inlineStr">
        <is>
          <t>How to use this tracker</t>
        </is>
      </c>
    </row>
    <row r="2">
      <c r="A2" s="5" t="inlineStr">
        <is>
          <t>Scope: 1 ground-truth review video per motorcycle (252 total), to learn/build the RAG pipeline end-to-end.</t>
        </is>
      </c>
    </row>
    <row r="3">
      <c r="A3" s="5" t="inlineStr">
        <is>
          <t xml:space="preserve">  - 'motorcycles': one row per bike (reference table). motorcycle_id is a generated slug (brand_model_variant).</t>
        </is>
      </c>
    </row>
    <row r="4">
      <c r="A4" s="5" t="inlineStr">
        <is>
          <t xml:space="preserve">  - 'videos': one row per motorcycle_id. Fill in the YELLOW cells once you find a review video.</t>
        </is>
      </c>
    </row>
    <row r="5">
      <c r="A5" s="5" t="n"/>
    </row>
    <row r="6">
      <c r="A6" s="4" t="inlineStr">
        <is>
          <t>To log a video:</t>
        </is>
      </c>
    </row>
    <row r="7">
      <c r="A7" s="5" t="inlineStr">
        <is>
          <t>1. Find the motorcycle_id in the 'videos' tab.</t>
        </is>
      </c>
    </row>
    <row r="8" ht="27.6" customHeight="1">
      <c r="A8" s="5" t="inlineStr">
        <is>
          <t>2. Fill: youtube_video_id, youtube_url, title, channel, review_type, language, duration_seconds, published_at, view_count, added_by, date_added, notes.</t>
        </is>
      </c>
    </row>
    <row r="9">
      <c r="A9" s="5" t="inlineStr">
        <is>
          <t>3. Leave transcript_status = 'pending' and transcript_path blank until the transcript pipeline runs.</t>
        </is>
      </c>
    </row>
    <row r="10">
      <c r="A10" s="5" t="inlineStr">
        <is>
          <t>4. is_ground_truth defaults to 'Y' since these are the hand-picked seed videos.</t>
        </is>
      </c>
    </row>
    <row r="11">
      <c r="A11" s="5" t="n"/>
    </row>
    <row r="12">
      <c r="A12" s="5" t="inlineStr">
        <is>
          <t>The 'motorcycles' tab auto-updates 'video_collected' and 'status' as you fill the 'videos' tab.</t>
        </is>
      </c>
    </row>
    <row r="13">
      <c r="A13" s="5" t="n"/>
    </row>
    <row r="14" ht="27.6" customHeight="1">
      <c r="A14" s="5" t="inlineStr">
        <is>
          <t>Later, if you want to expand to 2-3 videos/bike for cross-source verification, just add more rows to 'videos' with the same motorcycle_id (the sheet already supports many-to-one).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8" defaultColWidth="8.6640625" defaultRowHeight="14.4"/>
  <cols>
    <col width="30" customWidth="1" min="1" max="1"/>
    <col width="16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motorcycles</t>
        </is>
      </c>
      <c r="B2" s="7" t="n">
        <v>252</v>
      </c>
    </row>
    <row r="3">
      <c r="A3" s="7" t="inlineStr">
        <is>
          <t>Videos collected</t>
        </is>
      </c>
      <c r="B3" s="7">
        <f>COUNTIF(motorcycles!G2:G253,"Yes")</f>
        <v/>
      </c>
    </row>
    <row r="4">
      <c r="A4" s="7" t="inlineStr">
        <is>
          <t>Not started</t>
        </is>
      </c>
      <c r="B4" s="7">
        <f>COUNTIF(motorcycles!G2:G253,"No")</f>
        <v/>
      </c>
    </row>
    <row r="5">
      <c r="A5" s="7" t="inlineStr">
        <is>
          <t>% Complete</t>
        </is>
      </c>
      <c r="B5" s="8">
        <f>B3/B2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2026-08-25T08:35:20Z</dcterms:created>
  <dcterms:modified xmlns:dcterms="http://purl.org/dc/terms/" xmlns:xsi="http://www.w3.org/2001/XMLSchema-instance" xsi:type="dcterms:W3CDTF">2026-09-05T07:00:53Z</dcterms:modified>
  <cp:lastModifiedBy>Vaibhav S P</cp:lastModifiedBy>
  <cp:revision>0</cp:revision>
</cp:coreProperties>
</file>